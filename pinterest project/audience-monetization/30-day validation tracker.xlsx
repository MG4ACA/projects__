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Dashboard"/>
    <sheet r:id="rId2" sheetId="2" name="Tasks"/>
    <sheet r:id="rId3" sheetId="3" name="Instructions"/>
  </sheets>
  <definedNames>
    <definedName name="_xlnm._FilterDatabase" localSheetId="1">'Tasks'!$A$1:$G$193</definedName>
  </definedNames>
  <calcPr fullCalcOnLoad="1"/>
</workbook>
</file>

<file path=xl/sharedStrings.xml><?xml version="1.0" encoding="utf-8"?>
<sst xmlns="http://schemas.openxmlformats.org/spreadsheetml/2006/main" count="1261" uniqueCount="310">
  <si>
    <t>How to Use This Workbook</t>
  </si>
  <si>
    <t>1</t>
  </si>
  <si>
    <t>Open the Tasks sheet and use the Done dropdown for each task.</t>
  </si>
  <si>
    <t>2</t>
  </si>
  <si>
    <t>Choose ☐ for incomplete or ☑ for complete.</t>
  </si>
  <si>
    <t>3</t>
  </si>
  <si>
    <t>Add blockers, links, or evidence in the Notes column.</t>
  </si>
  <si>
    <t>4</t>
  </si>
  <si>
    <t>The Dashboard updates when Excel recalculates formulas.</t>
  </si>
  <si>
    <t>5</t>
  </si>
  <si>
    <t>Filter Tasks by day, focus, or priority when planning a work block.</t>
  </si>
  <si>
    <t>6</t>
  </si>
  <si>
    <t>Regenerate the workbook after changing the source CSV; manual checkbox progress will not be preserved.</t>
  </si>
  <si>
    <t>Day</t>
  </si>
  <si>
    <t>Date</t>
  </si>
  <si>
    <t>Focus</t>
  </si>
  <si>
    <t>Priority</t>
  </si>
  <si>
    <t>Task</t>
  </si>
  <si>
    <t>Done</t>
  </si>
  <si>
    <t>Notes</t>
  </si>
  <si>
    <t>2026-08-25</t>
  </si>
  <si>
    <t>Create the Repository</t>
  </si>
  <si>
    <t>Must do</t>
  </si>
  <si>
    <t>Create a future-nest folder inside the current workspace.</t>
  </si>
  <si>
    <t>☐</t>
  </si>
  <si>
    <t>Initialize future-nest as a separate Git repository.</t>
  </si>
  <si>
    <t>Create the Nuxt project using the current stable Nuxt setup.</t>
  </si>
  <si>
    <t>Confirm the project runs locally.</t>
  </si>
  <si>
    <t>Add a README with the project purpose and deployment target.</t>
  </si>
  <si>
    <t>Add .env.example and confirm secrets are ignored.</t>
  </si>
  <si>
    <t>Should do</t>
  </si>
  <si>
    <t>Create folders for pages, content, data, assets, and components.</t>
  </si>
  <si>
    <t>Add a simple homepage placeholder and make the first local commit.</t>
  </si>
  <si>
    <t>Optional</t>
  </si>
  <si>
    <t>Create the remote repository and push the initial commit.</t>
  </si>
  <si>
    <t>2026-08-26</t>
  </si>
  <si>
    <t>DNS and VPS Preparation</t>
  </si>
  <si>
    <t>Add the future A record for lumicore-labs.com pointing to the VPS IP.</t>
  </si>
  <si>
    <t>Verify DNS with nslookup.</t>
  </si>
  <si>
    <t>Create /var/www/future-nest on the VPS.</t>
  </si>
  <si>
    <t>Clone the separate repository into the VPS directory.</t>
  </si>
  <si>
    <t>Confirm the VPS Node.js version supports the Nuxt project.</t>
  </si>
  <si>
    <t>Record DNS and VPS details in a private note.</t>
  </si>
  <si>
    <t>Confirm the repository branch used for deployment.</t>
  </si>
  <si>
    <t>Perform the first VPS-side install and generation.</t>
  </si>
  <si>
    <t>2026-08-27</t>
  </si>
  <si>
    <t>First Deployment</t>
  </si>
  <si>
    <t>Generate the Nuxt static output.</t>
  </si>
  <si>
    <t>Configure Nginx for future.lumicore-labs.com.</t>
  </si>
  <si>
    <t>Confirm sudo nginx -t passes.</t>
  </si>
  <si>
    <t>Reload Nginx and open the site.</t>
  </si>
  <si>
    <t>Install or configure HTTPS with Certbot and confirm the HTTPS page loads.</t>
  </si>
  <si>
    <t>Test direct loading of the homepage URL and check browser and Nginx errors.</t>
  </si>
  <si>
    <t>Create and test the deployment script.</t>
  </si>
  <si>
    <t>2026-08-28</t>
  </si>
  <si>
    <t>MVP Scope and Site Skeleton</t>
  </si>
  <si>
    <t>Add the homepage structure.</t>
  </si>
  <si>
    <t>Add the /off-grid category page or equivalent.</t>
  </si>
  <si>
    <t>Add article route structure.</t>
  </si>
  <si>
    <t>Add a reusable product-card component placeholder.</t>
  </si>
  <si>
    <t>Add navigation and footer.</t>
  </si>
  <si>
    <t>Add a responsive layout and basic metadata.</t>
  </si>
  <si>
    <t>Add a simple visual identity using existing project assets.</t>
  </si>
  <si>
    <t>2026-08-29</t>
  </si>
  <si>
    <t>Affiliate Research and Applications</t>
  </si>
  <si>
    <t>Check Impact publisher requirements and signup flow.</t>
  </si>
  <si>
    <t>Check Awin publisher requirements and signup flow.</t>
  </si>
  <si>
    <t>Check at least three relevant direct merchant programs.</t>
  </si>
  <si>
    <t>Record Sri Lanka eligibility, payout, tax, and traffic-source rules.</t>
  </si>
  <si>
    <t>Submit applications where requirements are clear and acceptable.</t>
  </si>
  <si>
    <t>Record application dates and confirmation emails.</t>
  </si>
  <si>
    <t>Identify five solar, smart-home, or compact-home products.</t>
  </si>
  <si>
    <t>Contact one relevant merchant directly.</t>
  </si>
  <si>
    <t>2026-08-30</t>
  </si>
  <si>
    <t>Tracking Design</t>
  </si>
  <si>
    <t>Create or select a free Google Analytics 4 property.</t>
  </si>
  <si>
    <t>Record the measurement ID privately.</t>
  </si>
  <si>
    <t>Add analytics configuration without committing secrets.</t>
  </si>
  <si>
    <t>Define page_view, article_view, product_click, and affiliate_redirect events.</t>
  </si>
  <si>
    <t>Define Pinterest UTM values from the event-tracking checklist.</t>
  </si>
  <si>
    <t>Add a product-click redirect route if the static architecture supports it.</t>
  </si>
  <si>
    <t>Run a test visit locally.</t>
  </si>
  <si>
    <t>Add a lightweight first-party event log only if it needs no database.</t>
  </si>
  <si>
    <t>7</t>
  </si>
  <si>
    <t>2026-08-31</t>
  </si>
  <si>
    <t>Week 1 Review</t>
  </si>
  <si>
    <t>Confirm subdomain, HTTPS, repository, and deployment path.</t>
  </si>
  <si>
    <t>Update the affiliate tracker.</t>
  </si>
  <si>
    <t>Complete the event-tracking checklist.</t>
  </si>
  <si>
    <t>Record blockers and next actions.</t>
  </si>
  <si>
    <t>Commit and push the working project state.</t>
  </si>
  <si>
    <t>Write three decisions made this week and confirm the three initial article topics.</t>
  </si>
  <si>
    <t>Save a baseline screenshot.</t>
  </si>
  <si>
    <t>8</t>
  </si>
  <si>
    <t>2026-09-01</t>
  </si>
  <si>
    <t>Homepage</t>
  </si>
  <si>
    <t>Replace the placeholder homepage.</t>
  </si>
  <si>
    <t>Add a clear Future Living value proposition.</t>
  </si>
  <si>
    <t>Add links to the first category and articles.</t>
  </si>
  <si>
    <t>Add affiliate disclosure access from the footer.</t>
  </si>
  <si>
    <t>Add Open Graph metadata and test mobile layout.</t>
  </si>
  <si>
    <t>Add one featured-content section.</t>
  </si>
  <si>
    <t>9</t>
  </si>
  <si>
    <t>2026-09-02</t>
  </si>
  <si>
    <t>Article One</t>
  </si>
  <si>
    <t>Complete the article brief.</t>
  </si>
  <si>
    <t>Research and source each product claim.</t>
  </si>
  <si>
    <t>Write 10 Off-grid Gadgets You Can Actually Buy.</t>
  </si>
  <si>
    <t>Add product cards with verified links or clearly marked pending links.</t>
  </si>
  <si>
    <t>Add disclosure and limitations.</t>
  </si>
  <si>
    <t>Add internal links and inspect the generated output.</t>
  </si>
  <si>
    <t>Prepare three Pin concepts.</t>
  </si>
  <si>
    <t>10</t>
  </si>
  <si>
    <t>2026-09-03</t>
  </si>
  <si>
    <t>Article Two</t>
  </si>
  <si>
    <t>Write 7 Solar-powered Home Upgrades Worth Comparing.</t>
  </si>
  <si>
    <t>Source energy and product claims.</t>
  </si>
  <si>
    <t>Add comparison criteria and limitations.</t>
  </si>
  <si>
    <t>Add product links only where the affiliate path is verified or clearly labeled.</t>
  </si>
  <si>
    <t>Add SEO metadata and internal links.</t>
  </si>
  <si>
    <t>11</t>
  </si>
  <si>
    <t>2026-09-04</t>
  </si>
  <si>
    <t>Inspiration Article</t>
  </si>
  <si>
    <t>Write 12 Tiny-home Technologies That Make Small Spaces Work.</t>
  </si>
  <si>
    <t>Focus on practical reader usefulness.</t>
  </si>
  <si>
    <t>Link naturally to relevant products without making every section a sales pitch.</t>
  </si>
  <si>
    <t>Add a related-content section and check reading flow on mobile.</t>
  </si>
  <si>
    <t>Add one original diagram or comparison table.</t>
  </si>
  <si>
    <t>12</t>
  </si>
  <si>
    <t>2026-09-05</t>
  </si>
  <si>
    <t>Legal and SEO Basics</t>
  </si>
  <si>
    <t>Add privacy page.</t>
  </si>
  <si>
    <t>Add contact page using dev.mg4@gmail.com if needed.</t>
  </si>
  <si>
    <t>Add affiliate disclosure page or visible disclosure text.</t>
  </si>
  <si>
    <t>Add sitemap and robots file.</t>
  </si>
  <si>
    <t>Check canonical URLs and page titles.</t>
  </si>
  <si>
    <t>Review image licenses and alt text.</t>
  </si>
  <si>
    <t>Remove unverified price or commission claims.</t>
  </si>
  <si>
    <t>Set up Google Search Console.</t>
  </si>
  <si>
    <t>13</t>
  </si>
  <si>
    <t>2026-09-06</t>
  </si>
  <si>
    <t>Local QA and Deploy</t>
  </si>
  <si>
    <t>Test every navigation link and article URL.</t>
  </si>
  <si>
    <t>Test product links and tracking events.</t>
  </si>
  <si>
    <t>Generate the production build.</t>
  </si>
  <si>
    <t>Deploy through the separate Git repository.</t>
  </si>
  <si>
    <t>Verify HTTPS and mobile layout.</t>
  </si>
  <si>
    <t>Check Nginx logs and record the deployment commit hash.</t>
  </si>
  <si>
    <t>Ask one trusted person to test the site without explanation.</t>
  </si>
  <si>
    <t>14</t>
  </si>
  <si>
    <t>2026-09-07</t>
  </si>
  <si>
    <t>Week 2 Review</t>
  </si>
  <si>
    <t>Confirm all three articles are public.</t>
  </si>
  <si>
    <t>Confirm analytics test data and product-click tracking are visible.</t>
  </si>
  <si>
    <t>Update the dashboard baseline.</t>
  </si>
  <si>
    <t>Record unresolved blockers.</t>
  </si>
  <si>
    <t>Select the first 15-20 Pin topics and create a Pin-to-article mapping.</t>
  </si>
  <si>
    <t>Capture a baseline analytics screenshot.</t>
  </si>
  <si>
    <t>15</t>
  </si>
  <si>
    <t>2026-09-08</t>
  </si>
  <si>
    <t>Pin Batch One</t>
  </si>
  <si>
    <t>Create five Pins for Article One.</t>
  </si>
  <si>
    <t>Give each Pin a unique title, visual angle, and UTM value.</t>
  </si>
  <si>
    <t>Record each Pin in the campaign tracker.</t>
  </si>
  <si>
    <t>Use concrete promises and check every destination URL.</t>
  </si>
  <si>
    <t>Prepare alternate descriptions.</t>
  </si>
  <si>
    <t>16</t>
  </si>
  <si>
    <t>2026-09-09</t>
  </si>
  <si>
    <t>Pin Batch Two</t>
  </si>
  <si>
    <t>Create five Pins for Article Two.</t>
  </si>
  <si>
    <t>Record all metadata in the campaign tracker.</t>
  </si>
  <si>
    <t>Verify UTM links.</t>
  </si>
  <si>
    <t>Include one budget angle and one use-case angle.</t>
  </si>
  <si>
    <t>Create one comparison-style visual.</t>
  </si>
  <si>
    <t>17</t>
  </si>
  <si>
    <t>2026-09-10</t>
  </si>
  <si>
    <t>Pin Batch Three</t>
  </si>
  <si>
    <t>Create five Pins for Article Three.</t>
  </si>
  <si>
    <t>Verify that every Pin fulfills its article promise.</t>
  </si>
  <si>
    <t>Include a tiny-home or small-space angle.</t>
  </si>
  <si>
    <t>Prepare five additional variations.</t>
  </si>
  <si>
    <t>18</t>
  </si>
  <si>
    <t>2026-09-11</t>
  </si>
  <si>
    <t>Publish and Schedule</t>
  </si>
  <si>
    <t>Publish or schedule the first 15 Pins.</t>
  </si>
  <si>
    <t>Start with the Future Living / Off-grid Tech board.</t>
  </si>
  <si>
    <t>Record actual publish times.</t>
  </si>
  <si>
    <t>Confirm Pinterest links resolve correctly.</t>
  </si>
  <si>
    <t>Add up to five additional Pins if quality remains high.</t>
  </si>
  <si>
    <t>Prepare a second relevant board only if the destination remains clear.</t>
  </si>
  <si>
    <t>19</t>
  </si>
  <si>
    <t>2026-09-12</t>
  </si>
  <si>
    <t>First Measurement Check</t>
  </si>
  <si>
    <t>Record Pinterest impressions, Pin clicks, outbound clicks, and saves.</t>
  </si>
  <si>
    <t>Record website sessions and article views.</t>
  </si>
  <si>
    <t>Check product-click and affiliate-redirect events.</t>
  </si>
  <si>
    <t>Fix broken links or missing UTM values.</t>
  </si>
  <si>
    <t>Identify the strongest and weakest Pin promise.</t>
  </si>
  <si>
    <t>Make one small landing-page improvement.</t>
  </si>
  <si>
    <t>20</t>
  </si>
  <si>
    <t>2026-09-13</t>
  </si>
  <si>
    <t>Content and Funnel Review</t>
  </si>
  <si>
    <t>Compare Pin performance by title angle.</t>
  </si>
  <si>
    <t>Compare traffic by article.</t>
  </si>
  <si>
    <t>Check whether visitors reach product cards.</t>
  </si>
  <si>
    <t>Record findings in the dashboard.</t>
  </si>
  <si>
    <t>Improve one weak article section or product-card explanation.</t>
  </si>
  <si>
    <t>Create two replacement Pins for the weakest angle.</t>
  </si>
  <si>
    <t>21</t>
  </si>
  <si>
    <t>2026-09-14</t>
  </si>
  <si>
    <t>Week 3 Review</t>
  </si>
  <si>
    <t>Confirm all published Pins and website events are tracked.</t>
  </si>
  <si>
    <t>Update the campaign and affiliate trackers.</t>
  </si>
  <si>
    <t>Record cumulative sessions and product clicks.</t>
  </si>
  <si>
    <t>Decide whether one controlled improvement is justified.</t>
  </si>
  <si>
    <t>Publish replacement Pins if evidence supports them.</t>
  </si>
  <si>
    <t>22</t>
  </si>
  <si>
    <t>2026-09-15</t>
  </si>
  <si>
    <t>Affiliate Follow-up</t>
  </si>
  <si>
    <t>Check responses from Impact, Awin, and direct merchants.</t>
  </si>
  <si>
    <t>Follow up where applications allow it.</t>
  </si>
  <si>
    <t>Confirm payout and Sri Lanka restrictions.</t>
  </si>
  <si>
    <t>Update program status and dates.</t>
  </si>
  <si>
    <t>Replace unusable programs with verified alternatives.</t>
  </si>
  <si>
    <t>23</t>
  </si>
  <si>
    <t>2026-09-16</t>
  </si>
  <si>
    <t>Analytics Quality Review</t>
  </si>
  <si>
    <t>Compare Pinterest outbound clicks with attributed website sessions.</t>
  </si>
  <si>
    <t>Check UTM campaign and content values.</t>
  </si>
  <si>
    <t>Check for attribution problems.</t>
  </si>
  <si>
    <t>Confirm product-click events are not duplicated.</t>
  </si>
  <si>
    <t>Record known data limitations.</t>
  </si>
  <si>
    <t>Add notes for Pinterest estimates or delayed reporting.</t>
  </si>
  <si>
    <t>Create a simple chart from dashboard data.</t>
  </si>
  <si>
    <t>24</t>
  </si>
  <si>
    <t>2026-09-17</t>
  </si>
  <si>
    <t>Conversion Improvement</t>
  </si>
  <si>
    <t>Choose one bottleneck: Pin click, article engagement, or product click.</t>
  </si>
  <si>
    <t>Make one focused change.</t>
  </si>
  <si>
    <t>Record the change and expected effect.</t>
  </si>
  <si>
    <t>Improve one product-card CTA or comparison section.</t>
  </si>
  <si>
    <t>Create one new Pin based on the strongest topic.</t>
  </si>
  <si>
    <t>25</t>
  </si>
  <si>
    <t>2026-09-18</t>
  </si>
  <si>
    <t>Revenue and Economics Review</t>
  </si>
  <si>
    <t>Record affiliate clicks, conversions, and revenue.</t>
  </si>
  <si>
    <t>Distinguish zero sales from missing tracking.</t>
  </si>
  <si>
    <t>Compare actual traffic with the conservative scenario.</t>
  </si>
  <si>
    <t>Record estimated weekly maintenance time.</t>
  </si>
  <si>
    <t>Estimate revenue per 1,000 Pinterest-attributed sessions.</t>
  </si>
  <si>
    <t>Identify one higher-value category worth testing later.</t>
  </si>
  <si>
    <t>26</t>
  </si>
  <si>
    <t>2026-09-19</t>
  </si>
  <si>
    <t>Audience and Content Decision</t>
  </si>
  <si>
    <t>Rank articles by Pinterest sessions.</t>
  </si>
  <si>
    <t>Rank articles by product-click rate.</t>
  </si>
  <si>
    <t>Rank Pin angles by outbound-click rate.</t>
  </si>
  <si>
    <t>Identify the strongest and weakest topics.</t>
  </si>
  <si>
    <t>Write three lessons about audience intent.</t>
  </si>
  <si>
    <t>Draft five follow-up article ideas.</t>
  </si>
  <si>
    <t>27</t>
  </si>
  <si>
    <t>2026-09-20</t>
  </si>
  <si>
    <t>Final Data Capture</t>
  </si>
  <si>
    <t>Export or record the final Pinterest date range.</t>
  </si>
  <si>
    <t>Record sessions, article views, product clicks, redirects, and revenue.</t>
  </si>
  <si>
    <t>Update every campaign-tracker row with available data.</t>
  </si>
  <si>
    <t>Update the validation dashboard.</t>
  </si>
  <si>
    <t>Save screenshots or exports needed to explain the result.</t>
  </si>
  <si>
    <t>Clean up duplicate or incomplete tracker rows.</t>
  </si>
  <si>
    <t>28</t>
  </si>
  <si>
    <t>2026-09-21</t>
  </si>
  <si>
    <t>Draft the Decision</t>
  </si>
  <si>
    <t>Compare results with the traffic, intent, and affiliate thresholds.</t>
  </si>
  <si>
    <t>Write evidence for and against continuing.</t>
  </si>
  <si>
    <t>Select continue and expand, continue but reposition, or pause and stop.</t>
  </si>
  <si>
    <t>Estimate the next 30-day workload and identify the biggest unresolved risk.</t>
  </si>
  <si>
    <t>Ask for a second opinion.</t>
  </si>
  <si>
    <t>29</t>
  </si>
  <si>
    <t>2026-09-22</t>
  </si>
  <si>
    <t>Final Review</t>
  </si>
  <si>
    <t>Recheck dashboard arithmetic.</t>
  </si>
  <si>
    <t>Confirm affiliate status evidence.</t>
  </si>
  <si>
    <t>Confirm the decision uses attributable traffic, not impressions alone.</t>
  </si>
  <si>
    <t>Confirm the next scope fits 10 hours per week.</t>
  </si>
  <si>
    <t>Write the top three lessons in plain language.</t>
  </si>
  <si>
    <t>Archive unused drafts without deleting source data.</t>
  </si>
  <si>
    <t>30</t>
  </si>
  <si>
    <t>2026-09-23</t>
  </si>
  <si>
    <t>Close the Experiment</t>
  </si>
  <si>
    <t>Complete the validation dashboard.</t>
  </si>
  <si>
    <t>Finalize the one-page decision memo.</t>
  </si>
  <si>
    <t>Record the next 30-day scope only if evidence supports continuing.</t>
  </si>
  <si>
    <t>Commit and push project, tracker, and documentation changes.</t>
  </si>
  <si>
    <t>Note the date of the next review.</t>
  </si>
  <si>
    <t>Update the weekly plan with approved changes.</t>
  </si>
  <si>
    <t>Create the next daily plan only after the decision is approved.</t>
  </si>
  <si>
    <t>FutureNest 30-Day Validation Dashboard</t>
  </si>
  <si>
    <t>Start date</t>
  </si>
  <si>
    <t>End date</t>
  </si>
  <si>
    <t>Website</t>
  </si>
  <si>
    <t>future.lumicore-labs.com</t>
  </si>
  <si>
    <t>Overall Progress</t>
  </si>
  <si>
    <t>Total tasks</t>
  </si>
  <si>
    <t>Completed</t>
  </si>
  <si>
    <t>Remaining</t>
  </si>
  <si>
    <t>Completion %</t>
  </si>
  <si>
    <t>Progress by Day</t>
  </si>
  <si>
    <t>Total</t>
  </si>
  <si>
    <t>Progress</t>
  </si>
  <si>
    <t>Progress by Priority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</si>
</sst>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8" x14ac:knownFonts="1">
    <font>
      <sz val="11"/>
      <color theme="1"/>
      <name val="Calibri"/>
      <family val="2"/>
      <scheme val="minor"/>
    </font>
    <font>
      <sz val="16"/>
      <color rgb="FFffffff"/>
      <name val="Calibri"/>
      <family val="2"/>
    </font>
    <font>
      <sz val="11"/>
      <color theme="1"/>
      <name val="Calibri"/>
      <family val="2"/>
    </font>
    <font>
      <sz val="11"/>
      <color rgb="FF1f4e78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3"/>
      <color rgb="FF1f4e78"/>
      <name val="Calibri"/>
      <family val="2"/>
    </font>
    <font>
      <sz val="14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d9e1f2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2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 wrapText="1"/>
    </xf>
    <xf xfId="0" numFmtId="0" borderId="0" fontId="0" fillId="0" applyAlignment="1">
      <alignment horizontal="general"/>
    </xf>
    <xf xfId="0" numFmtId="0" borderId="0" fontId="0" fillId="0" applyAlignment="1">
      <alignment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2" applyBorder="1" fontId="3" applyFont="1" fillId="0" applyAlignment="1">
      <alignment horizontal="left"/>
    </xf>
    <xf xfId="0" numFmtId="0" borderId="2" applyBorder="1" fontId="4" applyFont="1" fillId="0" applyAlignment="1">
      <alignment horizontal="left" wrapText="1"/>
    </xf>
    <xf xfId="0" numFmtId="0" borderId="0" fontId="0" fillId="0" applyAlignment="1">
      <alignment horizontal="left"/>
    </xf>
    <xf xfId="0" numFmtId="0" borderId="0" fontId="0" fillId="0" applyAlignment="1">
      <alignment horizontal="left" wrapText="1"/>
    </xf>
    <xf xfId="0" numFmtId="0" borderId="0" fontId="0" fillId="0" applyAlignment="1">
      <alignment horizontal="general"/>
    </xf>
    <xf xfId="0" numFmtId="0" borderId="3" applyBorder="1" fontId="5" applyFont="1" fillId="2" applyFill="1" applyAlignment="1">
      <alignment horizontal="center" wrapText="1"/>
    </xf>
    <xf xfId="0" numFmtId="0" borderId="4" applyBorder="1" fontId="4" applyFont="1" fillId="0" applyAlignment="1">
      <alignment horizontal="left"/>
    </xf>
    <xf xfId="0" numFmtId="0" borderId="4" applyBorder="1" fontId="4" applyFont="1" fillId="0" applyAlignment="1">
      <alignment horizontal="left" wrapText="1"/>
    </xf>
    <xf xfId="0" numFmtId="0" borderId="4" applyBorder="1" fontId="4" applyFont="1" fillId="0" applyAlignment="1">
      <alignment horizontal="center"/>
    </xf>
    <xf xfId="0" numFmtId="0" borderId="0" fontId="0" fillId="0" applyAlignment="1">
      <alignment horizontal="center"/>
    </xf>
    <xf xfId="0" numFmtId="3" applyNumberFormat="1" borderId="1" applyBorder="1" fontId="1" applyFont="1" fillId="2" applyFill="1" applyAlignment="1">
      <alignment horizontal="left"/>
    </xf>
    <xf xfId="0" numFmtId="0" borderId="0" fontId="0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3" applyNumberFormat="1" borderId="2" applyBorder="1" fontId="6" applyFont="1" fillId="0" applyAlignment="1">
      <alignment horizontal="left"/>
    </xf>
    <xf xfId="0" numFmtId="3" applyNumberFormat="1" borderId="2" applyBorder="1" fontId="3" applyFont="1" fillId="0" applyAlignment="1">
      <alignment horizontal="left"/>
    </xf>
    <xf xfId="0" numFmtId="0" borderId="1" applyBorder="1" fontId="7" applyFont="1" fillId="3" applyFill="1" applyAlignment="1">
      <alignment horizontal="center"/>
    </xf>
    <xf xfId="0" numFmtId="164" applyNumberFormat="1" borderId="1" applyBorder="1" fontId="7" applyFont="1" fillId="3" applyFill="1" applyAlignment="1">
      <alignment horizontal="center"/>
    </xf>
    <xf xfId="0" numFmtId="3" applyNumberFormat="1" borderId="3" applyBorder="1" fontId="5" applyFont="1" fillId="2" applyFill="1" applyAlignment="1">
      <alignment horizontal="center" wrapText="1"/>
    </xf>
    <xf xfId="0" numFmtId="3" applyNumberFormat="1" borderId="2" applyBorder="1" fontId="4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right"/>
    </xf>
    <xf xfId="0" numFmtId="164" applyNumberFormat="1" borderId="2" applyBorder="1" fontId="4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ables/table1.xml><?xml version="1.0" encoding="utf-8"?>
<table xmlns="http://schemas.openxmlformats.org/spreadsheetml/2006/main" ref="A1:G193" displayName="ValidationTasks" name="ValidationTasks" id="1" totalsRowShown="0">
  <autoFilter ref="A1:G193"/>
  <tableColumns count="7">
    <tableColumn name="Day" id="1"/>
    <tableColumn name="Date" id="2"/>
    <tableColumn name="Focus" id="3"/>
    <tableColumn name="Priority" id="4"/>
    <tableColumn name="Task" id="5"/>
    <tableColumn name="Done" id="6"/>
    <tableColumn name="Notes" id="7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8"/>
  <sheetViews>
    <sheetView workbookViewId="0">
      <pane state="frozen" activePane="bottomLeft" topLeftCell="A10" ySplit="9" xSplit="0"/>
    </sheetView>
  </sheetViews>
  <sheetFormatPr defaultRowHeight="15" x14ac:dyDescent="0.25"/>
  <cols>
    <col min="1" max="1" style="30" width="18.005" customWidth="1" bestFit="1"/>
    <col min="2" max="2" style="11" width="14.005" customWidth="1" bestFit="1"/>
    <col min="3" max="3" style="11" width="34.005" customWidth="1" bestFit="1"/>
    <col min="4" max="4" style="11" width="12.005" customWidth="1" bestFit="1"/>
    <col min="5" max="5" style="31" width="12.005" customWidth="1" bestFit="1"/>
    <col min="6" max="6" style="11" width="12.005" customWidth="1" bestFit="1"/>
    <col min="7" max="7" style="11" width="14.005" customWidth="1" bestFit="1"/>
    <col min="8" max="8" style="11" width="28.005" customWidth="1" bestFit="1"/>
  </cols>
  <sheetData>
    <row x14ac:dyDescent="0.25" r="1" customHeight="1" ht="28">
      <c r="A1" s="17" t="s">
        <v>296</v>
      </c>
      <c r="B1" s="3"/>
      <c r="C1" s="3"/>
      <c r="D1" s="3"/>
      <c r="E1" s="18"/>
      <c r="F1" s="3"/>
      <c r="G1" s="3"/>
      <c r="H1" s="3"/>
    </row>
    <row x14ac:dyDescent="0.25" r="2" customHeight="1" ht="18.75">
      <c r="A2" s="19"/>
      <c r="B2" s="3"/>
      <c r="C2" s="3"/>
      <c r="D2" s="3"/>
      <c r="E2" s="18"/>
      <c r="F2" s="3"/>
      <c r="G2" s="3"/>
      <c r="H2" s="3"/>
    </row>
    <row x14ac:dyDescent="0.25" r="3" customHeight="1" ht="18.75">
      <c r="A3" s="20" t="s">
        <v>297</v>
      </c>
      <c r="B3" s="3" t="s">
        <v>20</v>
      </c>
      <c r="C3" s="3"/>
      <c r="D3" s="3" t="s">
        <v>298</v>
      </c>
      <c r="E3" s="18" t="s">
        <v>287</v>
      </c>
      <c r="F3" s="3"/>
      <c r="G3" s="3" t="s">
        <v>299</v>
      </c>
      <c r="H3" s="3" t="s">
        <v>300</v>
      </c>
    </row>
    <row x14ac:dyDescent="0.25" r="4" customHeight="1" ht="18.75">
      <c r="A4" s="19"/>
      <c r="B4" s="3"/>
      <c r="C4" s="3"/>
      <c r="D4" s="3"/>
      <c r="E4" s="18"/>
      <c r="F4" s="3"/>
      <c r="G4" s="3"/>
      <c r="H4" s="3"/>
    </row>
    <row x14ac:dyDescent="0.25" r="5" customHeight="1" ht="18.75">
      <c r="A5" s="21" t="s">
        <v>301</v>
      </c>
      <c r="B5" s="3"/>
      <c r="C5" s="3"/>
      <c r="D5" s="3"/>
      <c r="E5" s="18"/>
      <c r="F5" s="3"/>
      <c r="G5" s="3"/>
      <c r="H5" s="3"/>
    </row>
    <row x14ac:dyDescent="0.25" r="6" customHeight="1" ht="18.75">
      <c r="A6" s="22" t="s">
        <v>302</v>
      </c>
      <c r="B6" s="23">
        <f>COUNTA(Tasks!$A$2:$A$193)</f>
      </c>
      <c r="C6" s="7" t="s">
        <v>303</v>
      </c>
      <c r="D6" s="23">
        <f>COUNTIF(Tasks!$F$2:$F$193,"☑")</f>
      </c>
      <c r="E6" s="7" t="s">
        <v>304</v>
      </c>
      <c r="F6" s="23">
        <f>B6-D6</f>
      </c>
      <c r="G6" s="7" t="s">
        <v>305</v>
      </c>
      <c r="H6" s="24">
        <f>IFERROR(D6/B6,0)</f>
      </c>
    </row>
    <row x14ac:dyDescent="0.25" r="7" customHeight="1" ht="18.75">
      <c r="A7" s="19"/>
      <c r="B7" s="3"/>
      <c r="C7" s="3"/>
      <c r="D7" s="3"/>
      <c r="E7" s="18"/>
      <c r="F7" s="3"/>
      <c r="G7" s="3"/>
      <c r="H7" s="3"/>
    </row>
    <row x14ac:dyDescent="0.25" r="8" customHeight="1" ht="18.75">
      <c r="A8" s="19"/>
      <c r="B8" s="3"/>
      <c r="C8" s="3"/>
      <c r="D8" s="3"/>
      <c r="E8" s="18"/>
      <c r="F8" s="3"/>
      <c r="G8" s="3"/>
      <c r="H8" s="3"/>
    </row>
    <row x14ac:dyDescent="0.25" r="9" customHeight="1" ht="18.75">
      <c r="A9" s="21" t="s">
        <v>306</v>
      </c>
      <c r="B9" s="3"/>
      <c r="C9" s="3"/>
      <c r="D9" s="3"/>
      <c r="E9" s="18"/>
      <c r="F9" s="3"/>
      <c r="G9" s="3"/>
      <c r="H9" s="3"/>
    </row>
    <row x14ac:dyDescent="0.25" r="10" customHeight="1" ht="20.25" customFormat="1" s="4">
      <c r="A10" s="25" t="s">
        <v>13</v>
      </c>
      <c r="B10" s="12" t="s">
        <v>14</v>
      </c>
      <c r="C10" s="12" t="s">
        <v>15</v>
      </c>
      <c r="D10" s="12" t="s">
        <v>307</v>
      </c>
      <c r="E10" s="12" t="s">
        <v>18</v>
      </c>
      <c r="F10" s="12" t="s">
        <v>304</v>
      </c>
      <c r="G10" s="12" t="s">
        <v>308</v>
      </c>
      <c r="H10" s="12"/>
    </row>
    <row x14ac:dyDescent="0.25" r="11" customHeight="1" ht="18.75">
      <c r="A11" s="26">
        <v>1</v>
      </c>
      <c r="B11" s="3" t="s">
        <v>20</v>
      </c>
      <c r="C11" s="3" t="s">
        <v>21</v>
      </c>
      <c r="D11" s="27">
        <f>COUNTIF(Tasks!$A$2:$A$193,A11)</f>
      </c>
      <c r="E11" s="28">
        <f>COUNTIFS(Tasks!$A$2:$A$193,A11,Tasks!$F$2:$F$193,"☑")</f>
      </c>
      <c r="F11" s="27">
        <f>D11-E11</f>
      </c>
      <c r="G11" s="29">
        <f>IFERROR(E11/D11,0)</f>
      </c>
      <c r="H11" s="3"/>
    </row>
    <row x14ac:dyDescent="0.25" r="12" customHeight="1" ht="18.75">
      <c r="A12" s="26">
        <v>2</v>
      </c>
      <c r="B12" s="3" t="s">
        <v>35</v>
      </c>
      <c r="C12" s="3" t="s">
        <v>36</v>
      </c>
      <c r="D12" s="27">
        <f>COUNTIF(Tasks!$A$2:$A$193,A12)</f>
      </c>
      <c r="E12" s="28">
        <f>COUNTIFS(Tasks!$A$2:$A$193,A12,Tasks!$F$2:$F$193,"☑")</f>
      </c>
      <c r="F12" s="27">
        <f>D12-E12</f>
      </c>
      <c r="G12" s="29">
        <f>IFERROR(E12/D12,0)</f>
      </c>
      <c r="H12" s="3"/>
    </row>
    <row x14ac:dyDescent="0.25" r="13" customHeight="1" ht="18.75">
      <c r="A13" s="26">
        <v>3</v>
      </c>
      <c r="B13" s="3" t="s">
        <v>45</v>
      </c>
      <c r="C13" s="3" t="s">
        <v>46</v>
      </c>
      <c r="D13" s="27">
        <f>COUNTIF(Tasks!$A$2:$A$193,A13)</f>
      </c>
      <c r="E13" s="28">
        <f>COUNTIFS(Tasks!$A$2:$A$193,A13,Tasks!$F$2:$F$193,"☑")</f>
      </c>
      <c r="F13" s="27">
        <f>D13-E13</f>
      </c>
      <c r="G13" s="29">
        <f>IFERROR(E13/D13,0)</f>
      </c>
      <c r="H13" s="3"/>
    </row>
    <row x14ac:dyDescent="0.25" r="14" customHeight="1" ht="18.75">
      <c r="A14" s="26">
        <v>4</v>
      </c>
      <c r="B14" s="3" t="s">
        <v>54</v>
      </c>
      <c r="C14" s="3" t="s">
        <v>55</v>
      </c>
      <c r="D14" s="27">
        <f>COUNTIF(Tasks!$A$2:$A$193,A14)</f>
      </c>
      <c r="E14" s="28">
        <f>COUNTIFS(Tasks!$A$2:$A$193,A14,Tasks!$F$2:$F$193,"☑")</f>
      </c>
      <c r="F14" s="27">
        <f>D14-E14</f>
      </c>
      <c r="G14" s="29">
        <f>IFERROR(E14/D14,0)</f>
      </c>
      <c r="H14" s="3"/>
    </row>
    <row x14ac:dyDescent="0.25" r="15" customHeight="1" ht="18.75">
      <c r="A15" s="26">
        <v>5</v>
      </c>
      <c r="B15" s="3" t="s">
        <v>63</v>
      </c>
      <c r="C15" s="3" t="s">
        <v>64</v>
      </c>
      <c r="D15" s="27">
        <f>COUNTIF(Tasks!$A$2:$A$193,A15)</f>
      </c>
      <c r="E15" s="28">
        <f>COUNTIFS(Tasks!$A$2:$A$193,A15,Tasks!$F$2:$F$193,"☑")</f>
      </c>
      <c r="F15" s="27">
        <f>D15-E15</f>
      </c>
      <c r="G15" s="29">
        <f>IFERROR(E15/D15,0)</f>
      </c>
      <c r="H15" s="3"/>
    </row>
    <row x14ac:dyDescent="0.25" r="16" customHeight="1" ht="18.75">
      <c r="A16" s="26">
        <v>6</v>
      </c>
      <c r="B16" s="3" t="s">
        <v>73</v>
      </c>
      <c r="C16" s="3" t="s">
        <v>74</v>
      </c>
      <c r="D16" s="27">
        <f>COUNTIF(Tasks!$A$2:$A$193,A16)</f>
      </c>
      <c r="E16" s="28">
        <f>COUNTIFS(Tasks!$A$2:$A$193,A16,Tasks!$F$2:$F$193,"☑")</f>
      </c>
      <c r="F16" s="27">
        <f>D16-E16</f>
      </c>
      <c r="G16" s="29">
        <f>IFERROR(E16/D16,0)</f>
      </c>
      <c r="H16" s="3"/>
    </row>
    <row x14ac:dyDescent="0.25" r="17" customHeight="1" ht="18.75">
      <c r="A17" s="26">
        <v>7</v>
      </c>
      <c r="B17" s="3" t="s">
        <v>84</v>
      </c>
      <c r="C17" s="3" t="s">
        <v>85</v>
      </c>
      <c r="D17" s="27">
        <f>COUNTIF(Tasks!$A$2:$A$193,A17)</f>
      </c>
      <c r="E17" s="28">
        <f>COUNTIFS(Tasks!$A$2:$A$193,A17,Tasks!$F$2:$F$193,"☑")</f>
      </c>
      <c r="F17" s="27">
        <f>D17-E17</f>
      </c>
      <c r="G17" s="29">
        <f>IFERROR(E17/D17,0)</f>
      </c>
      <c r="H17" s="3"/>
    </row>
    <row x14ac:dyDescent="0.25" r="18" customHeight="1" ht="18.75">
      <c r="A18" s="26">
        <v>8</v>
      </c>
      <c r="B18" s="3" t="s">
        <v>94</v>
      </c>
      <c r="C18" s="3" t="s">
        <v>95</v>
      </c>
      <c r="D18" s="27">
        <f>COUNTIF(Tasks!$A$2:$A$193,A18)</f>
      </c>
      <c r="E18" s="28">
        <f>COUNTIFS(Tasks!$A$2:$A$193,A18,Tasks!$F$2:$F$193,"☑")</f>
      </c>
      <c r="F18" s="27">
        <f>D18-E18</f>
      </c>
      <c r="G18" s="29">
        <f>IFERROR(E18/D18,0)</f>
      </c>
      <c r="H18" s="3"/>
    </row>
    <row x14ac:dyDescent="0.25" r="19" customHeight="1" ht="18.75">
      <c r="A19" s="26">
        <v>9</v>
      </c>
      <c r="B19" s="3" t="s">
        <v>103</v>
      </c>
      <c r="C19" s="3" t="s">
        <v>104</v>
      </c>
      <c r="D19" s="27">
        <f>COUNTIF(Tasks!$A$2:$A$193,A19)</f>
      </c>
      <c r="E19" s="28">
        <f>COUNTIFS(Tasks!$A$2:$A$193,A19,Tasks!$F$2:$F$193,"☑")</f>
      </c>
      <c r="F19" s="27">
        <f>D19-E19</f>
      </c>
      <c r="G19" s="29">
        <f>IFERROR(E19/D19,0)</f>
      </c>
      <c r="H19" s="3"/>
    </row>
    <row x14ac:dyDescent="0.25" r="20" customHeight="1" ht="18.75">
      <c r="A20" s="26">
        <v>10</v>
      </c>
      <c r="B20" s="3" t="s">
        <v>113</v>
      </c>
      <c r="C20" s="3" t="s">
        <v>114</v>
      </c>
      <c r="D20" s="27">
        <f>COUNTIF(Tasks!$A$2:$A$193,A20)</f>
      </c>
      <c r="E20" s="28">
        <f>COUNTIFS(Tasks!$A$2:$A$193,A20,Tasks!$F$2:$F$193,"☑")</f>
      </c>
      <c r="F20" s="27">
        <f>D20-E20</f>
      </c>
      <c r="G20" s="29">
        <f>IFERROR(E20/D20,0)</f>
      </c>
      <c r="H20" s="3"/>
    </row>
    <row x14ac:dyDescent="0.25" r="21" customHeight="1" ht="18.75">
      <c r="A21" s="26">
        <v>11</v>
      </c>
      <c r="B21" s="3" t="s">
        <v>121</v>
      </c>
      <c r="C21" s="3" t="s">
        <v>122</v>
      </c>
      <c r="D21" s="27">
        <f>COUNTIF(Tasks!$A$2:$A$193,A21)</f>
      </c>
      <c r="E21" s="28">
        <f>COUNTIFS(Tasks!$A$2:$A$193,A21,Tasks!$F$2:$F$193,"☑")</f>
      </c>
      <c r="F21" s="27">
        <f>D21-E21</f>
      </c>
      <c r="G21" s="29">
        <f>IFERROR(E21/D21,0)</f>
      </c>
      <c r="H21" s="3"/>
    </row>
    <row x14ac:dyDescent="0.25" r="22" customHeight="1" ht="18.75">
      <c r="A22" s="26">
        <v>12</v>
      </c>
      <c r="B22" s="3" t="s">
        <v>129</v>
      </c>
      <c r="C22" s="3" t="s">
        <v>130</v>
      </c>
      <c r="D22" s="27">
        <f>COUNTIF(Tasks!$A$2:$A$193,A22)</f>
      </c>
      <c r="E22" s="28">
        <f>COUNTIFS(Tasks!$A$2:$A$193,A22,Tasks!$F$2:$F$193,"☑")</f>
      </c>
      <c r="F22" s="27">
        <f>D22-E22</f>
      </c>
      <c r="G22" s="29">
        <f>IFERROR(E22/D22,0)</f>
      </c>
      <c r="H22" s="3"/>
    </row>
    <row x14ac:dyDescent="0.25" r="23" customHeight="1" ht="18.75">
      <c r="A23" s="26">
        <v>13</v>
      </c>
      <c r="B23" s="3" t="s">
        <v>140</v>
      </c>
      <c r="C23" s="3" t="s">
        <v>141</v>
      </c>
      <c r="D23" s="27">
        <f>COUNTIF(Tasks!$A$2:$A$193,A23)</f>
      </c>
      <c r="E23" s="28">
        <f>COUNTIFS(Tasks!$A$2:$A$193,A23,Tasks!$F$2:$F$193,"☑")</f>
      </c>
      <c r="F23" s="27">
        <f>D23-E23</f>
      </c>
      <c r="G23" s="29">
        <f>IFERROR(E23/D23,0)</f>
      </c>
      <c r="H23" s="3"/>
    </row>
    <row x14ac:dyDescent="0.25" r="24" customHeight="1" ht="18.75">
      <c r="A24" s="26">
        <v>14</v>
      </c>
      <c r="B24" s="3" t="s">
        <v>150</v>
      </c>
      <c r="C24" s="3" t="s">
        <v>151</v>
      </c>
      <c r="D24" s="27">
        <f>COUNTIF(Tasks!$A$2:$A$193,A24)</f>
      </c>
      <c r="E24" s="28">
        <f>COUNTIFS(Tasks!$A$2:$A$193,A24,Tasks!$F$2:$F$193,"☑")</f>
      </c>
      <c r="F24" s="27">
        <f>D24-E24</f>
      </c>
      <c r="G24" s="29">
        <f>IFERROR(E24/D24,0)</f>
      </c>
      <c r="H24" s="3"/>
    </row>
    <row x14ac:dyDescent="0.25" r="25" customHeight="1" ht="18.75">
      <c r="A25" s="26">
        <v>15</v>
      </c>
      <c r="B25" s="3" t="s">
        <v>159</v>
      </c>
      <c r="C25" s="3" t="s">
        <v>160</v>
      </c>
      <c r="D25" s="27">
        <f>COUNTIF(Tasks!$A$2:$A$193,A25)</f>
      </c>
      <c r="E25" s="28">
        <f>COUNTIFS(Tasks!$A$2:$A$193,A25,Tasks!$F$2:$F$193,"☑")</f>
      </c>
      <c r="F25" s="27">
        <f>D25-E25</f>
      </c>
      <c r="G25" s="29">
        <f>IFERROR(E25/D25,0)</f>
      </c>
      <c r="H25" s="3"/>
    </row>
    <row x14ac:dyDescent="0.25" r="26" customHeight="1" ht="18.75">
      <c r="A26" s="26">
        <v>16</v>
      </c>
      <c r="B26" s="3" t="s">
        <v>167</v>
      </c>
      <c r="C26" s="3" t="s">
        <v>168</v>
      </c>
      <c r="D26" s="27">
        <f>COUNTIF(Tasks!$A$2:$A$193,A26)</f>
      </c>
      <c r="E26" s="28">
        <f>COUNTIFS(Tasks!$A$2:$A$193,A26,Tasks!$F$2:$F$193,"☑")</f>
      </c>
      <c r="F26" s="27">
        <f>D26-E26</f>
      </c>
      <c r="G26" s="29">
        <f>IFERROR(E26/D26,0)</f>
      </c>
      <c r="H26" s="3"/>
    </row>
    <row x14ac:dyDescent="0.25" r="27" customHeight="1" ht="18.75">
      <c r="A27" s="26">
        <v>17</v>
      </c>
      <c r="B27" s="3" t="s">
        <v>175</v>
      </c>
      <c r="C27" s="3" t="s">
        <v>176</v>
      </c>
      <c r="D27" s="27">
        <f>COUNTIF(Tasks!$A$2:$A$193,A27)</f>
      </c>
      <c r="E27" s="28">
        <f>COUNTIFS(Tasks!$A$2:$A$193,A27,Tasks!$F$2:$F$193,"☑")</f>
      </c>
      <c r="F27" s="27">
        <f>D27-E27</f>
      </c>
      <c r="G27" s="29">
        <f>IFERROR(E27/D27,0)</f>
      </c>
      <c r="H27" s="3"/>
    </row>
    <row x14ac:dyDescent="0.25" r="28" customHeight="1" ht="18.75">
      <c r="A28" s="26">
        <v>18</v>
      </c>
      <c r="B28" s="3" t="s">
        <v>182</v>
      </c>
      <c r="C28" s="3" t="s">
        <v>183</v>
      </c>
      <c r="D28" s="27">
        <f>COUNTIF(Tasks!$A$2:$A$193,A28)</f>
      </c>
      <c r="E28" s="28">
        <f>COUNTIFS(Tasks!$A$2:$A$193,A28,Tasks!$F$2:$F$193,"☑")</f>
      </c>
      <c r="F28" s="27">
        <f>D28-E28</f>
      </c>
      <c r="G28" s="29">
        <f>IFERROR(E28/D28,0)</f>
      </c>
      <c r="H28" s="3"/>
    </row>
    <row x14ac:dyDescent="0.25" r="29" customHeight="1" ht="18.75">
      <c r="A29" s="26">
        <v>19</v>
      </c>
      <c r="B29" s="3" t="s">
        <v>191</v>
      </c>
      <c r="C29" s="3" t="s">
        <v>192</v>
      </c>
      <c r="D29" s="27">
        <f>COUNTIF(Tasks!$A$2:$A$193,A29)</f>
      </c>
      <c r="E29" s="28">
        <f>COUNTIFS(Tasks!$A$2:$A$193,A29,Tasks!$F$2:$F$193,"☑")</f>
      </c>
      <c r="F29" s="27">
        <f>D29-E29</f>
      </c>
      <c r="G29" s="29">
        <f>IFERROR(E29/D29,0)</f>
      </c>
      <c r="H29" s="3"/>
    </row>
    <row x14ac:dyDescent="0.25" r="30" customHeight="1" ht="18.75">
      <c r="A30" s="26">
        <v>20</v>
      </c>
      <c r="B30" s="3" t="s">
        <v>200</v>
      </c>
      <c r="C30" s="3" t="s">
        <v>201</v>
      </c>
      <c r="D30" s="27">
        <f>COUNTIF(Tasks!$A$2:$A$193,A30)</f>
      </c>
      <c r="E30" s="28">
        <f>COUNTIFS(Tasks!$A$2:$A$193,A30,Tasks!$F$2:$F$193,"☑")</f>
      </c>
      <c r="F30" s="27">
        <f>D30-E30</f>
      </c>
      <c r="G30" s="29">
        <f>IFERROR(E30/D30,0)</f>
      </c>
      <c r="H30" s="3"/>
    </row>
    <row x14ac:dyDescent="0.25" r="31" customHeight="1" ht="18.75">
      <c r="A31" s="26">
        <v>21</v>
      </c>
      <c r="B31" s="3" t="s">
        <v>209</v>
      </c>
      <c r="C31" s="3" t="s">
        <v>210</v>
      </c>
      <c r="D31" s="27">
        <f>COUNTIF(Tasks!$A$2:$A$193,A31)</f>
      </c>
      <c r="E31" s="28">
        <f>COUNTIFS(Tasks!$A$2:$A$193,A31,Tasks!$F$2:$F$193,"☑")</f>
      </c>
      <c r="F31" s="27">
        <f>D31-E31</f>
      </c>
      <c r="G31" s="29">
        <f>IFERROR(E31/D31,0)</f>
      </c>
      <c r="H31" s="3"/>
    </row>
    <row x14ac:dyDescent="0.25" r="32" customHeight="1" ht="18.75">
      <c r="A32" s="26">
        <v>22</v>
      </c>
      <c r="B32" s="3" t="s">
        <v>217</v>
      </c>
      <c r="C32" s="3" t="s">
        <v>218</v>
      </c>
      <c r="D32" s="27">
        <f>COUNTIF(Tasks!$A$2:$A$193,A32)</f>
      </c>
      <c r="E32" s="28">
        <f>COUNTIFS(Tasks!$A$2:$A$193,A32,Tasks!$F$2:$F$193,"☑")</f>
      </c>
      <c r="F32" s="27">
        <f>D32-E32</f>
      </c>
      <c r="G32" s="29">
        <f>IFERROR(E32/D32,0)</f>
      </c>
      <c r="H32" s="3"/>
    </row>
    <row x14ac:dyDescent="0.25" r="33" customHeight="1" ht="18.75">
      <c r="A33" s="26">
        <v>23</v>
      </c>
      <c r="B33" s="3" t="s">
        <v>225</v>
      </c>
      <c r="C33" s="3" t="s">
        <v>226</v>
      </c>
      <c r="D33" s="27">
        <f>COUNTIF(Tasks!$A$2:$A$193,A33)</f>
      </c>
      <c r="E33" s="28">
        <f>COUNTIFS(Tasks!$A$2:$A$193,A33,Tasks!$F$2:$F$193,"☑")</f>
      </c>
      <c r="F33" s="27">
        <f>D33-E33</f>
      </c>
      <c r="G33" s="29">
        <f>IFERROR(E33/D33,0)</f>
      </c>
      <c r="H33" s="3"/>
    </row>
    <row x14ac:dyDescent="0.25" r="34" customHeight="1" ht="18.75">
      <c r="A34" s="26">
        <v>24</v>
      </c>
      <c r="B34" s="3" t="s">
        <v>235</v>
      </c>
      <c r="C34" s="3" t="s">
        <v>236</v>
      </c>
      <c r="D34" s="27">
        <f>COUNTIF(Tasks!$A$2:$A$193,A34)</f>
      </c>
      <c r="E34" s="28">
        <f>COUNTIFS(Tasks!$A$2:$A$193,A34,Tasks!$F$2:$F$193,"☑")</f>
      </c>
      <c r="F34" s="27">
        <f>D34-E34</f>
      </c>
      <c r="G34" s="29">
        <f>IFERROR(E34/D34,0)</f>
      </c>
      <c r="H34" s="3"/>
    </row>
    <row x14ac:dyDescent="0.25" r="35" customHeight="1" ht="18.75">
      <c r="A35" s="26">
        <v>25</v>
      </c>
      <c r="B35" s="3" t="s">
        <v>243</v>
      </c>
      <c r="C35" s="3" t="s">
        <v>244</v>
      </c>
      <c r="D35" s="27">
        <f>COUNTIF(Tasks!$A$2:$A$193,A35)</f>
      </c>
      <c r="E35" s="28">
        <f>COUNTIFS(Tasks!$A$2:$A$193,A35,Tasks!$F$2:$F$193,"☑")</f>
      </c>
      <c r="F35" s="27">
        <f>D35-E35</f>
      </c>
      <c r="G35" s="29">
        <f>IFERROR(E35/D35,0)</f>
      </c>
      <c r="H35" s="3"/>
    </row>
    <row x14ac:dyDescent="0.25" r="36" customHeight="1" ht="18.75">
      <c r="A36" s="26">
        <v>26</v>
      </c>
      <c r="B36" s="3" t="s">
        <v>252</v>
      </c>
      <c r="C36" s="3" t="s">
        <v>253</v>
      </c>
      <c r="D36" s="27">
        <f>COUNTIF(Tasks!$A$2:$A$193,A36)</f>
      </c>
      <c r="E36" s="28">
        <f>COUNTIFS(Tasks!$A$2:$A$193,A36,Tasks!$F$2:$F$193,"☑")</f>
      </c>
      <c r="F36" s="27">
        <f>D36-E36</f>
      </c>
      <c r="G36" s="29">
        <f>IFERROR(E36/D36,0)</f>
      </c>
      <c r="H36" s="3"/>
    </row>
    <row x14ac:dyDescent="0.25" r="37" customHeight="1" ht="18.75">
      <c r="A37" s="26">
        <v>27</v>
      </c>
      <c r="B37" s="3" t="s">
        <v>261</v>
      </c>
      <c r="C37" s="3" t="s">
        <v>262</v>
      </c>
      <c r="D37" s="27">
        <f>COUNTIF(Tasks!$A$2:$A$193,A37)</f>
      </c>
      <c r="E37" s="28">
        <f>COUNTIFS(Tasks!$A$2:$A$193,A37,Tasks!$F$2:$F$193,"☑")</f>
      </c>
      <c r="F37" s="27">
        <f>D37-E37</f>
      </c>
      <c r="G37" s="29">
        <f>IFERROR(E37/D37,0)</f>
      </c>
      <c r="H37" s="3"/>
    </row>
    <row x14ac:dyDescent="0.25" r="38" customHeight="1" ht="18.75">
      <c r="A38" s="26">
        <v>28</v>
      </c>
      <c r="B38" s="3" t="s">
        <v>270</v>
      </c>
      <c r="C38" s="3" t="s">
        <v>271</v>
      </c>
      <c r="D38" s="27">
        <f>COUNTIF(Tasks!$A$2:$A$193,A38)</f>
      </c>
      <c r="E38" s="28">
        <f>COUNTIFS(Tasks!$A$2:$A$193,A38,Tasks!$F$2:$F$193,"☑")</f>
      </c>
      <c r="F38" s="27">
        <f>D38-E38</f>
      </c>
      <c r="G38" s="29">
        <f>IFERROR(E38/D38,0)</f>
      </c>
      <c r="H38" s="3"/>
    </row>
    <row x14ac:dyDescent="0.25" r="39" customHeight="1" ht="18.75">
      <c r="A39" s="26">
        <v>29</v>
      </c>
      <c r="B39" s="3" t="s">
        <v>278</v>
      </c>
      <c r="C39" s="3" t="s">
        <v>279</v>
      </c>
      <c r="D39" s="27">
        <f>COUNTIF(Tasks!$A$2:$A$193,A39)</f>
      </c>
      <c r="E39" s="28">
        <f>COUNTIFS(Tasks!$A$2:$A$193,A39,Tasks!$F$2:$F$193,"☑")</f>
      </c>
      <c r="F39" s="27">
        <f>D39-E39</f>
      </c>
      <c r="G39" s="29">
        <f>IFERROR(E39/D39,0)</f>
      </c>
      <c r="H39" s="3"/>
    </row>
    <row x14ac:dyDescent="0.25" r="40" customHeight="1" ht="18.75">
      <c r="A40" s="26">
        <v>30</v>
      </c>
      <c r="B40" s="3" t="s">
        <v>287</v>
      </c>
      <c r="C40" s="3" t="s">
        <v>288</v>
      </c>
      <c r="D40" s="27">
        <f>COUNTIF(Tasks!$A$2:$A$193,A40)</f>
      </c>
      <c r="E40" s="28">
        <f>COUNTIFS(Tasks!$A$2:$A$193,A40,Tasks!$F$2:$F$193,"☑")</f>
      </c>
      <c r="F40" s="27">
        <f>D40-E40</f>
      </c>
      <c r="G40" s="29">
        <f>IFERROR(E40/D40,0)</f>
      </c>
      <c r="H40" s="3"/>
    </row>
    <row x14ac:dyDescent="0.25" r="41" customHeight="1" ht="18.75">
      <c r="A41" s="19"/>
      <c r="B41" s="3"/>
      <c r="C41" s="3"/>
      <c r="D41" s="3"/>
      <c r="E41" s="18"/>
      <c r="F41" s="3"/>
      <c r="G41" s="3"/>
      <c r="H41" s="3"/>
    </row>
    <row x14ac:dyDescent="0.25" r="42" customHeight="1" ht="18.75">
      <c r="A42" s="19"/>
      <c r="B42" s="3"/>
      <c r="C42" s="3"/>
      <c r="D42" s="3"/>
      <c r="E42" s="18"/>
      <c r="F42" s="3"/>
      <c r="G42" s="3"/>
      <c r="H42" s="3"/>
    </row>
    <row x14ac:dyDescent="0.25" r="43" customHeight="1" ht="18.75">
      <c r="A43" s="19"/>
      <c r="B43" s="3"/>
      <c r="C43" s="3"/>
      <c r="D43" s="3"/>
      <c r="E43" s="18"/>
      <c r="F43" s="3"/>
      <c r="G43" s="3"/>
      <c r="H43" s="3"/>
    </row>
    <row x14ac:dyDescent="0.25" r="44" customHeight="1" ht="18.75">
      <c r="A44" s="21" t="s">
        <v>309</v>
      </c>
      <c r="B44" s="3"/>
      <c r="C44" s="3"/>
      <c r="D44" s="3"/>
      <c r="E44" s="18"/>
      <c r="F44" s="3"/>
      <c r="G44" s="3"/>
      <c r="H44" s="3"/>
    </row>
    <row x14ac:dyDescent="0.25" r="45" customHeight="1" ht="18.75" customFormat="1" s="4">
      <c r="A45" s="25" t="s">
        <v>16</v>
      </c>
      <c r="B45" s="12" t="s">
        <v>307</v>
      </c>
      <c r="C45" s="12" t="s">
        <v>18</v>
      </c>
      <c r="D45" s="12" t="s">
        <v>304</v>
      </c>
      <c r="E45" s="12" t="s">
        <v>308</v>
      </c>
      <c r="F45" s="12"/>
      <c r="G45" s="12"/>
      <c r="H45" s="12"/>
    </row>
    <row x14ac:dyDescent="0.25" r="46" customHeight="1" ht="18.75">
      <c r="A46" s="20" t="s">
        <v>22</v>
      </c>
      <c r="B46" s="27">
        <f>COUNTIF(Tasks!$D$2:$D$193,A46)</f>
      </c>
      <c r="C46" s="27">
        <f>COUNTIFS(Tasks!$D$2:$D$193,A46,Tasks!$F$2:$F$193,"☑")</f>
      </c>
      <c r="D46" s="27">
        <f>B46-C46</f>
      </c>
      <c r="E46" s="29">
        <f>IFERROR(C46/B46,0)</f>
      </c>
      <c r="F46" s="3"/>
      <c r="G46" s="3"/>
      <c r="H46" s="3"/>
    </row>
    <row x14ac:dyDescent="0.25" r="47" customHeight="1" ht="18.75">
      <c r="A47" s="20" t="s">
        <v>30</v>
      </c>
      <c r="B47" s="27">
        <f>COUNTIF(Tasks!$D$2:$D$193,A47)</f>
      </c>
      <c r="C47" s="27">
        <f>COUNTIFS(Tasks!$D$2:$D$193,A47,Tasks!$F$2:$F$193,"☑")</f>
      </c>
      <c r="D47" s="27">
        <f>B47-C47</f>
      </c>
      <c r="E47" s="29">
        <f>IFERROR(C47/B47,0)</f>
      </c>
      <c r="F47" s="3"/>
      <c r="G47" s="3"/>
      <c r="H47" s="3"/>
    </row>
    <row x14ac:dyDescent="0.25" r="48" customHeight="1" ht="18.75">
      <c r="A48" s="20" t="s">
        <v>33</v>
      </c>
      <c r="B48" s="27">
        <f>COUNTIF(Tasks!$D$2:$D$193,A48)</f>
      </c>
      <c r="C48" s="27">
        <f>COUNTIFS(Tasks!$D$2:$D$193,A48,Tasks!$F$2:$F$193,"☑")</f>
      </c>
      <c r="D48" s="27">
        <f>B48-C48</f>
      </c>
      <c r="E48" s="29">
        <f>IFERROR(C48/B48,0)</f>
      </c>
      <c r="F48" s="3"/>
      <c r="G48" s="3"/>
      <c r="H48" s="3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93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9" width="8.005" customWidth="1" bestFit="1"/>
    <col min="2" max="2" style="9" width="14.005" customWidth="1" bestFit="1"/>
    <col min="3" max="3" style="10" width="30.005" customWidth="1" bestFit="1"/>
    <col min="4" max="4" style="9" width="14.005" customWidth="1" bestFit="1"/>
    <col min="5" max="5" style="10" width="72.005" customWidth="1" bestFit="1"/>
    <col min="6" max="6" style="16" width="10.005" customWidth="1" bestFit="1"/>
    <col min="7" max="7" style="10" width="32.005" customWidth="1" bestFit="1"/>
  </cols>
  <sheetData>
    <row x14ac:dyDescent="0.25" r="1" customHeight="1" ht="18.75" customFormat="1" s="4">
      <c r="A1" s="12" t="s">
        <v>13</v>
      </c>
      <c r="B1" s="12" t="s">
        <v>14</v>
      </c>
      <c r="C1" s="12" t="s">
        <v>15</v>
      </c>
      <c r="D1" s="12" t="s">
        <v>16</v>
      </c>
      <c r="E1" s="12" t="s">
        <v>17</v>
      </c>
      <c r="F1" s="12" t="s">
        <v>18</v>
      </c>
      <c r="G1" s="12" t="s">
        <v>19</v>
      </c>
    </row>
    <row x14ac:dyDescent="0.25" r="2" customHeight="1" ht="21">
      <c r="A2" s="13" t="s">
        <v>1</v>
      </c>
      <c r="B2" s="13" t="s">
        <v>20</v>
      </c>
      <c r="C2" s="14" t="s">
        <v>21</v>
      </c>
      <c r="D2" s="13" t="s">
        <v>22</v>
      </c>
      <c r="E2" s="14" t="s">
        <v>23</v>
      </c>
      <c r="F2" s="15" t="s">
        <v>24</v>
      </c>
      <c r="G2" s="14"/>
    </row>
    <row x14ac:dyDescent="0.25" r="3" customHeight="1" ht="21">
      <c r="A3" s="13" t="s">
        <v>1</v>
      </c>
      <c r="B3" s="13" t="s">
        <v>20</v>
      </c>
      <c r="C3" s="14" t="s">
        <v>21</v>
      </c>
      <c r="D3" s="13" t="s">
        <v>22</v>
      </c>
      <c r="E3" s="14" t="s">
        <v>25</v>
      </c>
      <c r="F3" s="15" t="s">
        <v>24</v>
      </c>
      <c r="G3" s="14"/>
    </row>
    <row x14ac:dyDescent="0.25" r="4" customHeight="1" ht="21">
      <c r="A4" s="13" t="s">
        <v>1</v>
      </c>
      <c r="B4" s="13" t="s">
        <v>20</v>
      </c>
      <c r="C4" s="14" t="s">
        <v>21</v>
      </c>
      <c r="D4" s="13" t="s">
        <v>22</v>
      </c>
      <c r="E4" s="14" t="s">
        <v>26</v>
      </c>
      <c r="F4" s="15" t="s">
        <v>24</v>
      </c>
      <c r="G4" s="14"/>
    </row>
    <row x14ac:dyDescent="0.25" r="5" customHeight="1" ht="21">
      <c r="A5" s="13" t="s">
        <v>1</v>
      </c>
      <c r="B5" s="13" t="s">
        <v>20</v>
      </c>
      <c r="C5" s="14" t="s">
        <v>21</v>
      </c>
      <c r="D5" s="13" t="s">
        <v>22</v>
      </c>
      <c r="E5" s="14" t="s">
        <v>27</v>
      </c>
      <c r="F5" s="15" t="s">
        <v>24</v>
      </c>
      <c r="G5" s="14"/>
    </row>
    <row x14ac:dyDescent="0.25" r="6" customHeight="1" ht="21">
      <c r="A6" s="13" t="s">
        <v>1</v>
      </c>
      <c r="B6" s="13" t="s">
        <v>20</v>
      </c>
      <c r="C6" s="14" t="s">
        <v>21</v>
      </c>
      <c r="D6" s="13" t="s">
        <v>22</v>
      </c>
      <c r="E6" s="14" t="s">
        <v>28</v>
      </c>
      <c r="F6" s="15" t="s">
        <v>24</v>
      </c>
      <c r="G6" s="14"/>
    </row>
    <row x14ac:dyDescent="0.25" r="7" customHeight="1" ht="21">
      <c r="A7" s="13" t="s">
        <v>1</v>
      </c>
      <c r="B7" s="13" t="s">
        <v>20</v>
      </c>
      <c r="C7" s="14" t="s">
        <v>21</v>
      </c>
      <c r="D7" s="13" t="s">
        <v>22</v>
      </c>
      <c r="E7" s="14" t="s">
        <v>29</v>
      </c>
      <c r="F7" s="15" t="s">
        <v>24</v>
      </c>
      <c r="G7" s="14"/>
    </row>
    <row x14ac:dyDescent="0.25" r="8" customHeight="1" ht="21">
      <c r="A8" s="13" t="s">
        <v>1</v>
      </c>
      <c r="B8" s="13" t="s">
        <v>20</v>
      </c>
      <c r="C8" s="14" t="s">
        <v>21</v>
      </c>
      <c r="D8" s="13" t="s">
        <v>30</v>
      </c>
      <c r="E8" s="14" t="s">
        <v>31</v>
      </c>
      <c r="F8" s="15" t="s">
        <v>24</v>
      </c>
      <c r="G8" s="14"/>
    </row>
    <row x14ac:dyDescent="0.25" r="9" customHeight="1" ht="21">
      <c r="A9" s="13" t="s">
        <v>1</v>
      </c>
      <c r="B9" s="13" t="s">
        <v>20</v>
      </c>
      <c r="C9" s="14" t="s">
        <v>21</v>
      </c>
      <c r="D9" s="13" t="s">
        <v>30</v>
      </c>
      <c r="E9" s="14" t="s">
        <v>32</v>
      </c>
      <c r="F9" s="15" t="s">
        <v>24</v>
      </c>
      <c r="G9" s="14"/>
    </row>
    <row x14ac:dyDescent="0.25" r="10" customHeight="1" ht="21">
      <c r="A10" s="13" t="s">
        <v>1</v>
      </c>
      <c r="B10" s="13" t="s">
        <v>20</v>
      </c>
      <c r="C10" s="14" t="s">
        <v>21</v>
      </c>
      <c r="D10" s="13" t="s">
        <v>33</v>
      </c>
      <c r="E10" s="14" t="s">
        <v>34</v>
      </c>
      <c r="F10" s="15" t="s">
        <v>24</v>
      </c>
      <c r="G10" s="14"/>
    </row>
    <row x14ac:dyDescent="0.25" r="11" customHeight="1" ht="21">
      <c r="A11" s="13" t="s">
        <v>3</v>
      </c>
      <c r="B11" s="13" t="s">
        <v>35</v>
      </c>
      <c r="C11" s="14" t="s">
        <v>36</v>
      </c>
      <c r="D11" s="13" t="s">
        <v>22</v>
      </c>
      <c r="E11" s="14" t="s">
        <v>37</v>
      </c>
      <c r="F11" s="15" t="s">
        <v>24</v>
      </c>
      <c r="G11" s="14"/>
    </row>
    <row x14ac:dyDescent="0.25" r="12" customHeight="1" ht="21">
      <c r="A12" s="13" t="s">
        <v>3</v>
      </c>
      <c r="B12" s="13" t="s">
        <v>35</v>
      </c>
      <c r="C12" s="14" t="s">
        <v>36</v>
      </c>
      <c r="D12" s="13" t="s">
        <v>22</v>
      </c>
      <c r="E12" s="14" t="s">
        <v>38</v>
      </c>
      <c r="F12" s="15" t="s">
        <v>24</v>
      </c>
      <c r="G12" s="14"/>
    </row>
    <row x14ac:dyDescent="0.25" r="13" customHeight="1" ht="21">
      <c r="A13" s="13" t="s">
        <v>3</v>
      </c>
      <c r="B13" s="13" t="s">
        <v>35</v>
      </c>
      <c r="C13" s="14" t="s">
        <v>36</v>
      </c>
      <c r="D13" s="13" t="s">
        <v>22</v>
      </c>
      <c r="E13" s="14" t="s">
        <v>39</v>
      </c>
      <c r="F13" s="15" t="s">
        <v>24</v>
      </c>
      <c r="G13" s="14"/>
    </row>
    <row x14ac:dyDescent="0.25" r="14" customHeight="1" ht="21">
      <c r="A14" s="13" t="s">
        <v>3</v>
      </c>
      <c r="B14" s="13" t="s">
        <v>35</v>
      </c>
      <c r="C14" s="14" t="s">
        <v>36</v>
      </c>
      <c r="D14" s="13" t="s">
        <v>22</v>
      </c>
      <c r="E14" s="14" t="s">
        <v>40</v>
      </c>
      <c r="F14" s="15" t="s">
        <v>24</v>
      </c>
      <c r="G14" s="14"/>
    </row>
    <row x14ac:dyDescent="0.25" r="15" customHeight="1" ht="21">
      <c r="A15" s="13" t="s">
        <v>3</v>
      </c>
      <c r="B15" s="13" t="s">
        <v>35</v>
      </c>
      <c r="C15" s="14" t="s">
        <v>36</v>
      </c>
      <c r="D15" s="13" t="s">
        <v>22</v>
      </c>
      <c r="E15" s="14" t="s">
        <v>41</v>
      </c>
      <c r="F15" s="15" t="s">
        <v>24</v>
      </c>
      <c r="G15" s="14"/>
    </row>
    <row x14ac:dyDescent="0.25" r="16" customHeight="1" ht="21">
      <c r="A16" s="13" t="s">
        <v>3</v>
      </c>
      <c r="B16" s="13" t="s">
        <v>35</v>
      </c>
      <c r="C16" s="14" t="s">
        <v>36</v>
      </c>
      <c r="D16" s="13" t="s">
        <v>30</v>
      </c>
      <c r="E16" s="14" t="s">
        <v>42</v>
      </c>
      <c r="F16" s="15" t="s">
        <v>24</v>
      </c>
      <c r="G16" s="14"/>
    </row>
    <row x14ac:dyDescent="0.25" r="17" customHeight="1" ht="21">
      <c r="A17" s="13" t="s">
        <v>3</v>
      </c>
      <c r="B17" s="13" t="s">
        <v>35</v>
      </c>
      <c r="C17" s="14" t="s">
        <v>36</v>
      </c>
      <c r="D17" s="13" t="s">
        <v>30</v>
      </c>
      <c r="E17" s="14" t="s">
        <v>43</v>
      </c>
      <c r="F17" s="15" t="s">
        <v>24</v>
      </c>
      <c r="G17" s="14"/>
    </row>
    <row x14ac:dyDescent="0.25" r="18" customHeight="1" ht="21">
      <c r="A18" s="13" t="s">
        <v>3</v>
      </c>
      <c r="B18" s="13" t="s">
        <v>35</v>
      </c>
      <c r="C18" s="14" t="s">
        <v>36</v>
      </c>
      <c r="D18" s="13" t="s">
        <v>33</v>
      </c>
      <c r="E18" s="14" t="s">
        <v>44</v>
      </c>
      <c r="F18" s="15" t="s">
        <v>24</v>
      </c>
      <c r="G18" s="14"/>
    </row>
    <row x14ac:dyDescent="0.25" r="19" customHeight="1" ht="21">
      <c r="A19" s="13" t="s">
        <v>5</v>
      </c>
      <c r="B19" s="13" t="s">
        <v>45</v>
      </c>
      <c r="C19" s="14" t="s">
        <v>46</v>
      </c>
      <c r="D19" s="13" t="s">
        <v>22</v>
      </c>
      <c r="E19" s="14" t="s">
        <v>47</v>
      </c>
      <c r="F19" s="15" t="s">
        <v>24</v>
      </c>
      <c r="G19" s="14"/>
    </row>
    <row x14ac:dyDescent="0.25" r="20" customHeight="1" ht="21">
      <c r="A20" s="13" t="s">
        <v>5</v>
      </c>
      <c r="B20" s="13" t="s">
        <v>45</v>
      </c>
      <c r="C20" s="14" t="s">
        <v>46</v>
      </c>
      <c r="D20" s="13" t="s">
        <v>22</v>
      </c>
      <c r="E20" s="14" t="s">
        <v>48</v>
      </c>
      <c r="F20" s="15" t="s">
        <v>24</v>
      </c>
      <c r="G20" s="14"/>
    </row>
    <row x14ac:dyDescent="0.25" r="21" customHeight="1" ht="21">
      <c r="A21" s="13" t="s">
        <v>5</v>
      </c>
      <c r="B21" s="13" t="s">
        <v>45</v>
      </c>
      <c r="C21" s="14" t="s">
        <v>46</v>
      </c>
      <c r="D21" s="13" t="s">
        <v>22</v>
      </c>
      <c r="E21" s="14" t="s">
        <v>49</v>
      </c>
      <c r="F21" s="15" t="s">
        <v>24</v>
      </c>
      <c r="G21" s="14"/>
    </row>
    <row x14ac:dyDescent="0.25" r="22" customHeight="1" ht="21">
      <c r="A22" s="13" t="s">
        <v>5</v>
      </c>
      <c r="B22" s="13" t="s">
        <v>45</v>
      </c>
      <c r="C22" s="14" t="s">
        <v>46</v>
      </c>
      <c r="D22" s="13" t="s">
        <v>22</v>
      </c>
      <c r="E22" s="14" t="s">
        <v>50</v>
      </c>
      <c r="F22" s="15" t="s">
        <v>24</v>
      </c>
      <c r="G22" s="14"/>
    </row>
    <row x14ac:dyDescent="0.25" r="23" customHeight="1" ht="21">
      <c r="A23" s="13" t="s">
        <v>5</v>
      </c>
      <c r="B23" s="13" t="s">
        <v>45</v>
      </c>
      <c r="C23" s="14" t="s">
        <v>46</v>
      </c>
      <c r="D23" s="13" t="s">
        <v>22</v>
      </c>
      <c r="E23" s="14" t="s">
        <v>51</v>
      </c>
      <c r="F23" s="15" t="s">
        <v>24</v>
      </c>
      <c r="G23" s="14"/>
    </row>
    <row x14ac:dyDescent="0.25" r="24" customHeight="1" ht="21">
      <c r="A24" s="13" t="s">
        <v>5</v>
      </c>
      <c r="B24" s="13" t="s">
        <v>45</v>
      </c>
      <c r="C24" s="14" t="s">
        <v>46</v>
      </c>
      <c r="D24" s="13" t="s">
        <v>30</v>
      </c>
      <c r="E24" s="14" t="s">
        <v>52</v>
      </c>
      <c r="F24" s="15" t="s">
        <v>24</v>
      </c>
      <c r="G24" s="14"/>
    </row>
    <row x14ac:dyDescent="0.25" r="25" customHeight="1" ht="21">
      <c r="A25" s="13" t="s">
        <v>5</v>
      </c>
      <c r="B25" s="13" t="s">
        <v>45</v>
      </c>
      <c r="C25" s="14" t="s">
        <v>46</v>
      </c>
      <c r="D25" s="13" t="s">
        <v>33</v>
      </c>
      <c r="E25" s="14" t="s">
        <v>53</v>
      </c>
      <c r="F25" s="15" t="s">
        <v>24</v>
      </c>
      <c r="G25" s="14"/>
    </row>
    <row x14ac:dyDescent="0.25" r="26" customHeight="1" ht="21">
      <c r="A26" s="13" t="s">
        <v>7</v>
      </c>
      <c r="B26" s="13" t="s">
        <v>54</v>
      </c>
      <c r="C26" s="14" t="s">
        <v>55</v>
      </c>
      <c r="D26" s="13" t="s">
        <v>22</v>
      </c>
      <c r="E26" s="14" t="s">
        <v>56</v>
      </c>
      <c r="F26" s="15" t="s">
        <v>24</v>
      </c>
      <c r="G26" s="14"/>
    </row>
    <row x14ac:dyDescent="0.25" r="27" customHeight="1" ht="18.75">
      <c r="A27" s="13" t="s">
        <v>7</v>
      </c>
      <c r="B27" s="13" t="s">
        <v>54</v>
      </c>
      <c r="C27" s="14" t="s">
        <v>55</v>
      </c>
      <c r="D27" s="13" t="s">
        <v>22</v>
      </c>
      <c r="E27" s="14" t="s">
        <v>57</v>
      </c>
      <c r="F27" s="15" t="s">
        <v>24</v>
      </c>
      <c r="G27" s="14"/>
    </row>
    <row x14ac:dyDescent="0.25" r="28" customHeight="1" ht="18.75">
      <c r="A28" s="13" t="s">
        <v>7</v>
      </c>
      <c r="B28" s="13" t="s">
        <v>54</v>
      </c>
      <c r="C28" s="14" t="s">
        <v>55</v>
      </c>
      <c r="D28" s="13" t="s">
        <v>22</v>
      </c>
      <c r="E28" s="14" t="s">
        <v>58</v>
      </c>
      <c r="F28" s="15" t="s">
        <v>24</v>
      </c>
      <c r="G28" s="14"/>
    </row>
    <row x14ac:dyDescent="0.25" r="29" customHeight="1" ht="18.75">
      <c r="A29" s="13" t="s">
        <v>7</v>
      </c>
      <c r="B29" s="13" t="s">
        <v>54</v>
      </c>
      <c r="C29" s="14" t="s">
        <v>55</v>
      </c>
      <c r="D29" s="13" t="s">
        <v>22</v>
      </c>
      <c r="E29" s="14" t="s">
        <v>59</v>
      </c>
      <c r="F29" s="15" t="s">
        <v>24</v>
      </c>
      <c r="G29" s="14"/>
    </row>
    <row x14ac:dyDescent="0.25" r="30" customHeight="1" ht="18.75">
      <c r="A30" s="13" t="s">
        <v>7</v>
      </c>
      <c r="B30" s="13" t="s">
        <v>54</v>
      </c>
      <c r="C30" s="14" t="s">
        <v>55</v>
      </c>
      <c r="D30" s="13" t="s">
        <v>22</v>
      </c>
      <c r="E30" s="14" t="s">
        <v>60</v>
      </c>
      <c r="F30" s="15" t="s">
        <v>24</v>
      </c>
      <c r="G30" s="14"/>
    </row>
    <row x14ac:dyDescent="0.25" r="31" customHeight="1" ht="18.75">
      <c r="A31" s="13" t="s">
        <v>7</v>
      </c>
      <c r="B31" s="13" t="s">
        <v>54</v>
      </c>
      <c r="C31" s="14" t="s">
        <v>55</v>
      </c>
      <c r="D31" s="13" t="s">
        <v>30</v>
      </c>
      <c r="E31" s="14" t="s">
        <v>61</v>
      </c>
      <c r="F31" s="15" t="s">
        <v>24</v>
      </c>
      <c r="G31" s="14"/>
    </row>
    <row x14ac:dyDescent="0.25" r="32" customHeight="1" ht="18.75">
      <c r="A32" s="13" t="s">
        <v>7</v>
      </c>
      <c r="B32" s="13" t="s">
        <v>54</v>
      </c>
      <c r="C32" s="14" t="s">
        <v>55</v>
      </c>
      <c r="D32" s="13" t="s">
        <v>33</v>
      </c>
      <c r="E32" s="14" t="s">
        <v>62</v>
      </c>
      <c r="F32" s="15" t="s">
        <v>24</v>
      </c>
      <c r="G32" s="14"/>
    </row>
    <row x14ac:dyDescent="0.25" r="33" customHeight="1" ht="18.75">
      <c r="A33" s="13" t="s">
        <v>9</v>
      </c>
      <c r="B33" s="13" t="s">
        <v>63</v>
      </c>
      <c r="C33" s="14" t="s">
        <v>64</v>
      </c>
      <c r="D33" s="13" t="s">
        <v>22</v>
      </c>
      <c r="E33" s="14" t="s">
        <v>65</v>
      </c>
      <c r="F33" s="15" t="s">
        <v>24</v>
      </c>
      <c r="G33" s="14"/>
    </row>
    <row x14ac:dyDescent="0.25" r="34" customHeight="1" ht="18.75">
      <c r="A34" s="13" t="s">
        <v>9</v>
      </c>
      <c r="B34" s="13" t="s">
        <v>63</v>
      </c>
      <c r="C34" s="14" t="s">
        <v>64</v>
      </c>
      <c r="D34" s="13" t="s">
        <v>22</v>
      </c>
      <c r="E34" s="14" t="s">
        <v>66</v>
      </c>
      <c r="F34" s="15" t="s">
        <v>24</v>
      </c>
      <c r="G34" s="14"/>
    </row>
    <row x14ac:dyDescent="0.25" r="35" customHeight="1" ht="18.75">
      <c r="A35" s="13" t="s">
        <v>9</v>
      </c>
      <c r="B35" s="13" t="s">
        <v>63</v>
      </c>
      <c r="C35" s="14" t="s">
        <v>64</v>
      </c>
      <c r="D35" s="13" t="s">
        <v>22</v>
      </c>
      <c r="E35" s="14" t="s">
        <v>67</v>
      </c>
      <c r="F35" s="15" t="s">
        <v>24</v>
      </c>
      <c r="G35" s="14"/>
    </row>
    <row x14ac:dyDescent="0.25" r="36" customHeight="1" ht="18.75">
      <c r="A36" s="13" t="s">
        <v>9</v>
      </c>
      <c r="B36" s="13" t="s">
        <v>63</v>
      </c>
      <c r="C36" s="14" t="s">
        <v>64</v>
      </c>
      <c r="D36" s="13" t="s">
        <v>22</v>
      </c>
      <c r="E36" s="14" t="s">
        <v>68</v>
      </c>
      <c r="F36" s="15" t="s">
        <v>24</v>
      </c>
      <c r="G36" s="14"/>
    </row>
    <row x14ac:dyDescent="0.25" r="37" customHeight="1" ht="18.75">
      <c r="A37" s="13" t="s">
        <v>9</v>
      </c>
      <c r="B37" s="13" t="s">
        <v>63</v>
      </c>
      <c r="C37" s="14" t="s">
        <v>64</v>
      </c>
      <c r="D37" s="13" t="s">
        <v>22</v>
      </c>
      <c r="E37" s="14" t="s">
        <v>69</v>
      </c>
      <c r="F37" s="15" t="s">
        <v>24</v>
      </c>
      <c r="G37" s="14"/>
    </row>
    <row x14ac:dyDescent="0.25" r="38" customHeight="1" ht="18.75">
      <c r="A38" s="13" t="s">
        <v>9</v>
      </c>
      <c r="B38" s="13" t="s">
        <v>63</v>
      </c>
      <c r="C38" s="14" t="s">
        <v>64</v>
      </c>
      <c r="D38" s="13" t="s">
        <v>30</v>
      </c>
      <c r="E38" s="14" t="s">
        <v>70</v>
      </c>
      <c r="F38" s="15" t="s">
        <v>24</v>
      </c>
      <c r="G38" s="14"/>
    </row>
    <row x14ac:dyDescent="0.25" r="39" customHeight="1" ht="18.75">
      <c r="A39" s="13" t="s">
        <v>9</v>
      </c>
      <c r="B39" s="13" t="s">
        <v>63</v>
      </c>
      <c r="C39" s="14" t="s">
        <v>64</v>
      </c>
      <c r="D39" s="13" t="s">
        <v>30</v>
      </c>
      <c r="E39" s="14" t="s">
        <v>71</v>
      </c>
      <c r="F39" s="15" t="s">
        <v>24</v>
      </c>
      <c r="G39" s="14"/>
    </row>
    <row x14ac:dyDescent="0.25" r="40" customHeight="1" ht="18.75">
      <c r="A40" s="13" t="s">
        <v>9</v>
      </c>
      <c r="B40" s="13" t="s">
        <v>63</v>
      </c>
      <c r="C40" s="14" t="s">
        <v>64</v>
      </c>
      <c r="D40" s="13" t="s">
        <v>33</v>
      </c>
      <c r="E40" s="14" t="s">
        <v>72</v>
      </c>
      <c r="F40" s="15" t="s">
        <v>24</v>
      </c>
      <c r="G40" s="14"/>
    </row>
    <row x14ac:dyDescent="0.25" r="41" customHeight="1" ht="18.75">
      <c r="A41" s="13" t="s">
        <v>11</v>
      </c>
      <c r="B41" s="13" t="s">
        <v>73</v>
      </c>
      <c r="C41" s="14" t="s">
        <v>74</v>
      </c>
      <c r="D41" s="13" t="s">
        <v>22</v>
      </c>
      <c r="E41" s="14" t="s">
        <v>75</v>
      </c>
      <c r="F41" s="15" t="s">
        <v>24</v>
      </c>
      <c r="G41" s="14"/>
    </row>
    <row x14ac:dyDescent="0.25" r="42" customHeight="1" ht="18.75">
      <c r="A42" s="13" t="s">
        <v>11</v>
      </c>
      <c r="B42" s="13" t="s">
        <v>73</v>
      </c>
      <c r="C42" s="14" t="s">
        <v>74</v>
      </c>
      <c r="D42" s="13" t="s">
        <v>22</v>
      </c>
      <c r="E42" s="14" t="s">
        <v>76</v>
      </c>
      <c r="F42" s="15" t="s">
        <v>24</v>
      </c>
      <c r="G42" s="14"/>
    </row>
    <row x14ac:dyDescent="0.25" r="43" customHeight="1" ht="18.75">
      <c r="A43" s="13" t="s">
        <v>11</v>
      </c>
      <c r="B43" s="13" t="s">
        <v>73</v>
      </c>
      <c r="C43" s="14" t="s">
        <v>74</v>
      </c>
      <c r="D43" s="13" t="s">
        <v>22</v>
      </c>
      <c r="E43" s="14" t="s">
        <v>77</v>
      </c>
      <c r="F43" s="15" t="s">
        <v>24</v>
      </c>
      <c r="G43" s="14"/>
    </row>
    <row x14ac:dyDescent="0.25" r="44" customHeight="1" ht="18.75">
      <c r="A44" s="13" t="s">
        <v>11</v>
      </c>
      <c r="B44" s="13" t="s">
        <v>73</v>
      </c>
      <c r="C44" s="14" t="s">
        <v>74</v>
      </c>
      <c r="D44" s="13" t="s">
        <v>22</v>
      </c>
      <c r="E44" s="14" t="s">
        <v>78</v>
      </c>
      <c r="F44" s="15" t="s">
        <v>24</v>
      </c>
      <c r="G44" s="14"/>
    </row>
    <row x14ac:dyDescent="0.25" r="45" customHeight="1" ht="18.75">
      <c r="A45" s="13" t="s">
        <v>11</v>
      </c>
      <c r="B45" s="13" t="s">
        <v>73</v>
      </c>
      <c r="C45" s="14" t="s">
        <v>74</v>
      </c>
      <c r="D45" s="13" t="s">
        <v>22</v>
      </c>
      <c r="E45" s="14" t="s">
        <v>79</v>
      </c>
      <c r="F45" s="15" t="s">
        <v>24</v>
      </c>
      <c r="G45" s="14"/>
    </row>
    <row x14ac:dyDescent="0.25" r="46" customHeight="1" ht="18.75">
      <c r="A46" s="13" t="s">
        <v>11</v>
      </c>
      <c r="B46" s="13" t="s">
        <v>73</v>
      </c>
      <c r="C46" s="14" t="s">
        <v>74</v>
      </c>
      <c r="D46" s="13" t="s">
        <v>30</v>
      </c>
      <c r="E46" s="14" t="s">
        <v>80</v>
      </c>
      <c r="F46" s="15" t="s">
        <v>24</v>
      </c>
      <c r="G46" s="14"/>
    </row>
    <row x14ac:dyDescent="0.25" r="47" customHeight="1" ht="18.75">
      <c r="A47" s="13" t="s">
        <v>11</v>
      </c>
      <c r="B47" s="13" t="s">
        <v>73</v>
      </c>
      <c r="C47" s="14" t="s">
        <v>74</v>
      </c>
      <c r="D47" s="13" t="s">
        <v>30</v>
      </c>
      <c r="E47" s="14" t="s">
        <v>81</v>
      </c>
      <c r="F47" s="15" t="s">
        <v>24</v>
      </c>
      <c r="G47" s="14"/>
    </row>
    <row x14ac:dyDescent="0.25" r="48" customHeight="1" ht="18.75">
      <c r="A48" s="13" t="s">
        <v>11</v>
      </c>
      <c r="B48" s="13" t="s">
        <v>73</v>
      </c>
      <c r="C48" s="14" t="s">
        <v>74</v>
      </c>
      <c r="D48" s="13" t="s">
        <v>33</v>
      </c>
      <c r="E48" s="14" t="s">
        <v>82</v>
      </c>
      <c r="F48" s="15" t="s">
        <v>24</v>
      </c>
      <c r="G48" s="14"/>
    </row>
    <row x14ac:dyDescent="0.25" r="49" customHeight="1" ht="18.75">
      <c r="A49" s="13" t="s">
        <v>83</v>
      </c>
      <c r="B49" s="13" t="s">
        <v>84</v>
      </c>
      <c r="C49" s="14" t="s">
        <v>85</v>
      </c>
      <c r="D49" s="13" t="s">
        <v>22</v>
      </c>
      <c r="E49" s="14" t="s">
        <v>86</v>
      </c>
      <c r="F49" s="15" t="s">
        <v>24</v>
      </c>
      <c r="G49" s="14"/>
    </row>
    <row x14ac:dyDescent="0.25" r="50" customHeight="1" ht="18.75">
      <c r="A50" s="13" t="s">
        <v>83</v>
      </c>
      <c r="B50" s="13" t="s">
        <v>84</v>
      </c>
      <c r="C50" s="14" t="s">
        <v>85</v>
      </c>
      <c r="D50" s="13" t="s">
        <v>22</v>
      </c>
      <c r="E50" s="14" t="s">
        <v>87</v>
      </c>
      <c r="F50" s="15" t="s">
        <v>24</v>
      </c>
      <c r="G50" s="14"/>
    </row>
    <row x14ac:dyDescent="0.25" r="51" customHeight="1" ht="18.75">
      <c r="A51" s="13" t="s">
        <v>83</v>
      </c>
      <c r="B51" s="13" t="s">
        <v>84</v>
      </c>
      <c r="C51" s="14" t="s">
        <v>85</v>
      </c>
      <c r="D51" s="13" t="s">
        <v>22</v>
      </c>
      <c r="E51" s="14" t="s">
        <v>88</v>
      </c>
      <c r="F51" s="15" t="s">
        <v>24</v>
      </c>
      <c r="G51" s="14"/>
    </row>
    <row x14ac:dyDescent="0.25" r="52" customHeight="1" ht="18.75">
      <c r="A52" s="13" t="s">
        <v>83</v>
      </c>
      <c r="B52" s="13" t="s">
        <v>84</v>
      </c>
      <c r="C52" s="14" t="s">
        <v>85</v>
      </c>
      <c r="D52" s="13" t="s">
        <v>22</v>
      </c>
      <c r="E52" s="14" t="s">
        <v>89</v>
      </c>
      <c r="F52" s="15" t="s">
        <v>24</v>
      </c>
      <c r="G52" s="14"/>
    </row>
    <row x14ac:dyDescent="0.25" r="53" customHeight="1" ht="18.75">
      <c r="A53" s="13" t="s">
        <v>83</v>
      </c>
      <c r="B53" s="13" t="s">
        <v>84</v>
      </c>
      <c r="C53" s="14" t="s">
        <v>85</v>
      </c>
      <c r="D53" s="13" t="s">
        <v>22</v>
      </c>
      <c r="E53" s="14" t="s">
        <v>90</v>
      </c>
      <c r="F53" s="15" t="s">
        <v>24</v>
      </c>
      <c r="G53" s="14"/>
    </row>
    <row x14ac:dyDescent="0.25" r="54" customHeight="1" ht="18.75">
      <c r="A54" s="13" t="s">
        <v>83</v>
      </c>
      <c r="B54" s="13" t="s">
        <v>84</v>
      </c>
      <c r="C54" s="14" t="s">
        <v>85</v>
      </c>
      <c r="D54" s="13" t="s">
        <v>30</v>
      </c>
      <c r="E54" s="14" t="s">
        <v>91</v>
      </c>
      <c r="F54" s="15" t="s">
        <v>24</v>
      </c>
      <c r="G54" s="14"/>
    </row>
    <row x14ac:dyDescent="0.25" r="55" customHeight="1" ht="18.75">
      <c r="A55" s="13" t="s">
        <v>83</v>
      </c>
      <c r="B55" s="13" t="s">
        <v>84</v>
      </c>
      <c r="C55" s="14" t="s">
        <v>85</v>
      </c>
      <c r="D55" s="13" t="s">
        <v>33</v>
      </c>
      <c r="E55" s="14" t="s">
        <v>92</v>
      </c>
      <c r="F55" s="15" t="s">
        <v>24</v>
      </c>
      <c r="G55" s="14"/>
    </row>
    <row x14ac:dyDescent="0.25" r="56" customHeight="1" ht="18.75">
      <c r="A56" s="13" t="s">
        <v>93</v>
      </c>
      <c r="B56" s="13" t="s">
        <v>94</v>
      </c>
      <c r="C56" s="14" t="s">
        <v>95</v>
      </c>
      <c r="D56" s="13" t="s">
        <v>22</v>
      </c>
      <c r="E56" s="14" t="s">
        <v>96</v>
      </c>
      <c r="F56" s="15" t="s">
        <v>24</v>
      </c>
      <c r="G56" s="14"/>
    </row>
    <row x14ac:dyDescent="0.25" r="57" customHeight="1" ht="18.75">
      <c r="A57" s="13" t="s">
        <v>93</v>
      </c>
      <c r="B57" s="13" t="s">
        <v>94</v>
      </c>
      <c r="C57" s="14" t="s">
        <v>95</v>
      </c>
      <c r="D57" s="13" t="s">
        <v>22</v>
      </c>
      <c r="E57" s="14" t="s">
        <v>97</v>
      </c>
      <c r="F57" s="15" t="s">
        <v>24</v>
      </c>
      <c r="G57" s="14"/>
    </row>
    <row x14ac:dyDescent="0.25" r="58" customHeight="1" ht="18.75">
      <c r="A58" s="13" t="s">
        <v>93</v>
      </c>
      <c r="B58" s="13" t="s">
        <v>94</v>
      </c>
      <c r="C58" s="14" t="s">
        <v>95</v>
      </c>
      <c r="D58" s="13" t="s">
        <v>22</v>
      </c>
      <c r="E58" s="14" t="s">
        <v>98</v>
      </c>
      <c r="F58" s="15" t="s">
        <v>24</v>
      </c>
      <c r="G58" s="14"/>
    </row>
    <row x14ac:dyDescent="0.25" r="59" customHeight="1" ht="18.75">
      <c r="A59" s="13" t="s">
        <v>93</v>
      </c>
      <c r="B59" s="13" t="s">
        <v>94</v>
      </c>
      <c r="C59" s="14" t="s">
        <v>95</v>
      </c>
      <c r="D59" s="13" t="s">
        <v>22</v>
      </c>
      <c r="E59" s="14" t="s">
        <v>99</v>
      </c>
      <c r="F59" s="15" t="s">
        <v>24</v>
      </c>
      <c r="G59" s="14"/>
    </row>
    <row x14ac:dyDescent="0.25" r="60" customHeight="1" ht="18.75">
      <c r="A60" s="13" t="s">
        <v>93</v>
      </c>
      <c r="B60" s="13" t="s">
        <v>94</v>
      </c>
      <c r="C60" s="14" t="s">
        <v>95</v>
      </c>
      <c r="D60" s="13" t="s">
        <v>30</v>
      </c>
      <c r="E60" s="14" t="s">
        <v>100</v>
      </c>
      <c r="F60" s="15" t="s">
        <v>24</v>
      </c>
      <c r="G60" s="14"/>
    </row>
    <row x14ac:dyDescent="0.25" r="61" customHeight="1" ht="18.75">
      <c r="A61" s="13" t="s">
        <v>93</v>
      </c>
      <c r="B61" s="13" t="s">
        <v>94</v>
      </c>
      <c r="C61" s="14" t="s">
        <v>95</v>
      </c>
      <c r="D61" s="13" t="s">
        <v>33</v>
      </c>
      <c r="E61" s="14" t="s">
        <v>101</v>
      </c>
      <c r="F61" s="15" t="s">
        <v>24</v>
      </c>
      <c r="G61" s="14"/>
    </row>
    <row x14ac:dyDescent="0.25" r="62" customHeight="1" ht="18.75">
      <c r="A62" s="13" t="s">
        <v>102</v>
      </c>
      <c r="B62" s="13" t="s">
        <v>103</v>
      </c>
      <c r="C62" s="14" t="s">
        <v>104</v>
      </c>
      <c r="D62" s="13" t="s">
        <v>22</v>
      </c>
      <c r="E62" s="14" t="s">
        <v>105</v>
      </c>
      <c r="F62" s="15" t="s">
        <v>24</v>
      </c>
      <c r="G62" s="14"/>
    </row>
    <row x14ac:dyDescent="0.25" r="63" customHeight="1" ht="18.75">
      <c r="A63" s="13" t="s">
        <v>102</v>
      </c>
      <c r="B63" s="13" t="s">
        <v>103</v>
      </c>
      <c r="C63" s="14" t="s">
        <v>104</v>
      </c>
      <c r="D63" s="13" t="s">
        <v>22</v>
      </c>
      <c r="E63" s="14" t="s">
        <v>106</v>
      </c>
      <c r="F63" s="15" t="s">
        <v>24</v>
      </c>
      <c r="G63" s="14"/>
    </row>
    <row x14ac:dyDescent="0.25" r="64" customHeight="1" ht="18.75">
      <c r="A64" s="13" t="s">
        <v>102</v>
      </c>
      <c r="B64" s="13" t="s">
        <v>103</v>
      </c>
      <c r="C64" s="14" t="s">
        <v>104</v>
      </c>
      <c r="D64" s="13" t="s">
        <v>22</v>
      </c>
      <c r="E64" s="14" t="s">
        <v>107</v>
      </c>
      <c r="F64" s="15" t="s">
        <v>24</v>
      </c>
      <c r="G64" s="14"/>
    </row>
    <row x14ac:dyDescent="0.25" r="65" customHeight="1" ht="18.75">
      <c r="A65" s="13" t="s">
        <v>102</v>
      </c>
      <c r="B65" s="13" t="s">
        <v>103</v>
      </c>
      <c r="C65" s="14" t="s">
        <v>104</v>
      </c>
      <c r="D65" s="13" t="s">
        <v>22</v>
      </c>
      <c r="E65" s="14" t="s">
        <v>108</v>
      </c>
      <c r="F65" s="15" t="s">
        <v>24</v>
      </c>
      <c r="G65" s="14"/>
    </row>
    <row x14ac:dyDescent="0.25" r="66" customHeight="1" ht="18.75">
      <c r="A66" s="13" t="s">
        <v>102</v>
      </c>
      <c r="B66" s="13" t="s">
        <v>103</v>
      </c>
      <c r="C66" s="14" t="s">
        <v>104</v>
      </c>
      <c r="D66" s="13" t="s">
        <v>22</v>
      </c>
      <c r="E66" s="14" t="s">
        <v>109</v>
      </c>
      <c r="F66" s="15" t="s">
        <v>24</v>
      </c>
      <c r="G66" s="14"/>
    </row>
    <row x14ac:dyDescent="0.25" r="67" customHeight="1" ht="18.75">
      <c r="A67" s="13" t="s">
        <v>102</v>
      </c>
      <c r="B67" s="13" t="s">
        <v>103</v>
      </c>
      <c r="C67" s="14" t="s">
        <v>104</v>
      </c>
      <c r="D67" s="13" t="s">
        <v>30</v>
      </c>
      <c r="E67" s="14" t="s">
        <v>110</v>
      </c>
      <c r="F67" s="15" t="s">
        <v>24</v>
      </c>
      <c r="G67" s="14"/>
    </row>
    <row x14ac:dyDescent="0.25" r="68" customHeight="1" ht="18.75">
      <c r="A68" s="13" t="s">
        <v>102</v>
      </c>
      <c r="B68" s="13" t="s">
        <v>103</v>
      </c>
      <c r="C68" s="14" t="s">
        <v>104</v>
      </c>
      <c r="D68" s="13" t="s">
        <v>33</v>
      </c>
      <c r="E68" s="14" t="s">
        <v>111</v>
      </c>
      <c r="F68" s="15" t="s">
        <v>24</v>
      </c>
      <c r="G68" s="14"/>
    </row>
    <row x14ac:dyDescent="0.25" r="69" customHeight="1" ht="18.75">
      <c r="A69" s="13" t="s">
        <v>112</v>
      </c>
      <c r="B69" s="13" t="s">
        <v>113</v>
      </c>
      <c r="C69" s="14" t="s">
        <v>114</v>
      </c>
      <c r="D69" s="13" t="s">
        <v>22</v>
      </c>
      <c r="E69" s="14" t="s">
        <v>105</v>
      </c>
      <c r="F69" s="15" t="s">
        <v>24</v>
      </c>
      <c r="G69" s="14"/>
    </row>
    <row x14ac:dyDescent="0.25" r="70" customHeight="1" ht="18.75">
      <c r="A70" s="13" t="s">
        <v>112</v>
      </c>
      <c r="B70" s="13" t="s">
        <v>113</v>
      </c>
      <c r="C70" s="14" t="s">
        <v>114</v>
      </c>
      <c r="D70" s="13" t="s">
        <v>22</v>
      </c>
      <c r="E70" s="14" t="s">
        <v>115</v>
      </c>
      <c r="F70" s="15" t="s">
        <v>24</v>
      </c>
      <c r="G70" s="14"/>
    </row>
    <row x14ac:dyDescent="0.25" r="71" customHeight="1" ht="18.75">
      <c r="A71" s="13" t="s">
        <v>112</v>
      </c>
      <c r="B71" s="13" t="s">
        <v>113</v>
      </c>
      <c r="C71" s="14" t="s">
        <v>114</v>
      </c>
      <c r="D71" s="13" t="s">
        <v>22</v>
      </c>
      <c r="E71" s="14" t="s">
        <v>116</v>
      </c>
      <c r="F71" s="15" t="s">
        <v>24</v>
      </c>
      <c r="G71" s="14"/>
    </row>
    <row x14ac:dyDescent="0.25" r="72" customHeight="1" ht="18.75">
      <c r="A72" s="13" t="s">
        <v>112</v>
      </c>
      <c r="B72" s="13" t="s">
        <v>113</v>
      </c>
      <c r="C72" s="14" t="s">
        <v>114</v>
      </c>
      <c r="D72" s="13" t="s">
        <v>22</v>
      </c>
      <c r="E72" s="14" t="s">
        <v>117</v>
      </c>
      <c r="F72" s="15" t="s">
        <v>24</v>
      </c>
      <c r="G72" s="14"/>
    </row>
    <row x14ac:dyDescent="0.25" r="73" customHeight="1" ht="18.75">
      <c r="A73" s="13" t="s">
        <v>112</v>
      </c>
      <c r="B73" s="13" t="s">
        <v>113</v>
      </c>
      <c r="C73" s="14" t="s">
        <v>114</v>
      </c>
      <c r="D73" s="13" t="s">
        <v>22</v>
      </c>
      <c r="E73" s="14" t="s">
        <v>118</v>
      </c>
      <c r="F73" s="15" t="s">
        <v>24</v>
      </c>
      <c r="G73" s="14"/>
    </row>
    <row x14ac:dyDescent="0.25" r="74" customHeight="1" ht="18.75">
      <c r="A74" s="13" t="s">
        <v>112</v>
      </c>
      <c r="B74" s="13" t="s">
        <v>113</v>
      </c>
      <c r="C74" s="14" t="s">
        <v>114</v>
      </c>
      <c r="D74" s="13" t="s">
        <v>30</v>
      </c>
      <c r="E74" s="14" t="s">
        <v>119</v>
      </c>
      <c r="F74" s="15" t="s">
        <v>24</v>
      </c>
      <c r="G74" s="14"/>
    </row>
    <row x14ac:dyDescent="0.25" r="75" customHeight="1" ht="18.75">
      <c r="A75" s="13" t="s">
        <v>112</v>
      </c>
      <c r="B75" s="13" t="s">
        <v>113</v>
      </c>
      <c r="C75" s="14" t="s">
        <v>114</v>
      </c>
      <c r="D75" s="13" t="s">
        <v>33</v>
      </c>
      <c r="E75" s="14" t="s">
        <v>111</v>
      </c>
      <c r="F75" s="15" t="s">
        <v>24</v>
      </c>
      <c r="G75" s="14"/>
    </row>
    <row x14ac:dyDescent="0.25" r="76" customHeight="1" ht="18.75">
      <c r="A76" s="13" t="s">
        <v>120</v>
      </c>
      <c r="B76" s="13" t="s">
        <v>121</v>
      </c>
      <c r="C76" s="14" t="s">
        <v>122</v>
      </c>
      <c r="D76" s="13" t="s">
        <v>22</v>
      </c>
      <c r="E76" s="14" t="s">
        <v>123</v>
      </c>
      <c r="F76" s="15" t="s">
        <v>24</v>
      </c>
      <c r="G76" s="14"/>
    </row>
    <row x14ac:dyDescent="0.25" r="77" customHeight="1" ht="18.75">
      <c r="A77" s="13" t="s">
        <v>120</v>
      </c>
      <c r="B77" s="13" t="s">
        <v>121</v>
      </c>
      <c r="C77" s="14" t="s">
        <v>122</v>
      </c>
      <c r="D77" s="13" t="s">
        <v>22</v>
      </c>
      <c r="E77" s="14" t="s">
        <v>124</v>
      </c>
      <c r="F77" s="15" t="s">
        <v>24</v>
      </c>
      <c r="G77" s="14"/>
    </row>
    <row x14ac:dyDescent="0.25" r="78" customHeight="1" ht="18.75">
      <c r="A78" s="13" t="s">
        <v>120</v>
      </c>
      <c r="B78" s="13" t="s">
        <v>121</v>
      </c>
      <c r="C78" s="14" t="s">
        <v>122</v>
      </c>
      <c r="D78" s="13" t="s">
        <v>22</v>
      </c>
      <c r="E78" s="14" t="s">
        <v>125</v>
      </c>
      <c r="F78" s="15" t="s">
        <v>24</v>
      </c>
      <c r="G78" s="14"/>
    </row>
    <row x14ac:dyDescent="0.25" r="79" customHeight="1" ht="18.75">
      <c r="A79" s="13" t="s">
        <v>120</v>
      </c>
      <c r="B79" s="13" t="s">
        <v>121</v>
      </c>
      <c r="C79" s="14" t="s">
        <v>122</v>
      </c>
      <c r="D79" s="13" t="s">
        <v>30</v>
      </c>
      <c r="E79" s="14" t="s">
        <v>126</v>
      </c>
      <c r="F79" s="15" t="s">
        <v>24</v>
      </c>
      <c r="G79" s="14"/>
    </row>
    <row x14ac:dyDescent="0.25" r="80" customHeight="1" ht="18.75">
      <c r="A80" s="13" t="s">
        <v>120</v>
      </c>
      <c r="B80" s="13" t="s">
        <v>121</v>
      </c>
      <c r="C80" s="14" t="s">
        <v>122</v>
      </c>
      <c r="D80" s="13" t="s">
        <v>33</v>
      </c>
      <c r="E80" s="14" t="s">
        <v>127</v>
      </c>
      <c r="F80" s="15" t="s">
        <v>24</v>
      </c>
      <c r="G80" s="14"/>
    </row>
    <row x14ac:dyDescent="0.25" r="81" customHeight="1" ht="18.75">
      <c r="A81" s="13" t="s">
        <v>128</v>
      </c>
      <c r="B81" s="13" t="s">
        <v>129</v>
      </c>
      <c r="C81" s="14" t="s">
        <v>130</v>
      </c>
      <c r="D81" s="13" t="s">
        <v>22</v>
      </c>
      <c r="E81" s="14" t="s">
        <v>131</v>
      </c>
      <c r="F81" s="15" t="s">
        <v>24</v>
      </c>
      <c r="G81" s="14"/>
    </row>
    <row x14ac:dyDescent="0.25" r="82" customHeight="1" ht="18.75">
      <c r="A82" s="13" t="s">
        <v>128</v>
      </c>
      <c r="B82" s="13" t="s">
        <v>129</v>
      </c>
      <c r="C82" s="14" t="s">
        <v>130</v>
      </c>
      <c r="D82" s="13" t="s">
        <v>22</v>
      </c>
      <c r="E82" s="14" t="s">
        <v>132</v>
      </c>
      <c r="F82" s="15" t="s">
        <v>24</v>
      </c>
      <c r="G82" s="14"/>
    </row>
    <row x14ac:dyDescent="0.25" r="83" customHeight="1" ht="18.75">
      <c r="A83" s="13" t="s">
        <v>128</v>
      </c>
      <c r="B83" s="13" t="s">
        <v>129</v>
      </c>
      <c r="C83" s="14" t="s">
        <v>130</v>
      </c>
      <c r="D83" s="13" t="s">
        <v>22</v>
      </c>
      <c r="E83" s="14" t="s">
        <v>133</v>
      </c>
      <c r="F83" s="15" t="s">
        <v>24</v>
      </c>
      <c r="G83" s="14"/>
    </row>
    <row x14ac:dyDescent="0.25" r="84" customHeight="1" ht="18.75">
      <c r="A84" s="13" t="s">
        <v>128</v>
      </c>
      <c r="B84" s="13" t="s">
        <v>129</v>
      </c>
      <c r="C84" s="14" t="s">
        <v>130</v>
      </c>
      <c r="D84" s="13" t="s">
        <v>22</v>
      </c>
      <c r="E84" s="14" t="s">
        <v>134</v>
      </c>
      <c r="F84" s="15" t="s">
        <v>24</v>
      </c>
      <c r="G84" s="14"/>
    </row>
    <row x14ac:dyDescent="0.25" r="85" customHeight="1" ht="18.75">
      <c r="A85" s="13" t="s">
        <v>128</v>
      </c>
      <c r="B85" s="13" t="s">
        <v>129</v>
      </c>
      <c r="C85" s="14" t="s">
        <v>130</v>
      </c>
      <c r="D85" s="13" t="s">
        <v>22</v>
      </c>
      <c r="E85" s="14" t="s">
        <v>135</v>
      </c>
      <c r="F85" s="15" t="s">
        <v>24</v>
      </c>
      <c r="G85" s="14"/>
    </row>
    <row x14ac:dyDescent="0.25" r="86" customHeight="1" ht="18.75">
      <c r="A86" s="13" t="s">
        <v>128</v>
      </c>
      <c r="B86" s="13" t="s">
        <v>129</v>
      </c>
      <c r="C86" s="14" t="s">
        <v>130</v>
      </c>
      <c r="D86" s="13" t="s">
        <v>30</v>
      </c>
      <c r="E86" s="14" t="s">
        <v>136</v>
      </c>
      <c r="F86" s="15" t="s">
        <v>24</v>
      </c>
      <c r="G86" s="14"/>
    </row>
    <row x14ac:dyDescent="0.25" r="87" customHeight="1" ht="18.75">
      <c r="A87" s="13" t="s">
        <v>128</v>
      </c>
      <c r="B87" s="13" t="s">
        <v>129</v>
      </c>
      <c r="C87" s="14" t="s">
        <v>130</v>
      </c>
      <c r="D87" s="13" t="s">
        <v>30</v>
      </c>
      <c r="E87" s="14" t="s">
        <v>137</v>
      </c>
      <c r="F87" s="15" t="s">
        <v>24</v>
      </c>
      <c r="G87" s="14"/>
    </row>
    <row x14ac:dyDescent="0.25" r="88" customHeight="1" ht="18.75">
      <c r="A88" s="13" t="s">
        <v>128</v>
      </c>
      <c r="B88" s="13" t="s">
        <v>129</v>
      </c>
      <c r="C88" s="14" t="s">
        <v>130</v>
      </c>
      <c r="D88" s="13" t="s">
        <v>33</v>
      </c>
      <c r="E88" s="14" t="s">
        <v>138</v>
      </c>
      <c r="F88" s="15" t="s">
        <v>24</v>
      </c>
      <c r="G88" s="14"/>
    </row>
    <row x14ac:dyDescent="0.25" r="89" customHeight="1" ht="18.75">
      <c r="A89" s="13" t="s">
        <v>139</v>
      </c>
      <c r="B89" s="13" t="s">
        <v>140</v>
      </c>
      <c r="C89" s="14" t="s">
        <v>141</v>
      </c>
      <c r="D89" s="13" t="s">
        <v>22</v>
      </c>
      <c r="E89" s="14" t="s">
        <v>142</v>
      </c>
      <c r="F89" s="15" t="s">
        <v>24</v>
      </c>
      <c r="G89" s="14"/>
    </row>
    <row x14ac:dyDescent="0.25" r="90" customHeight="1" ht="18.75">
      <c r="A90" s="13" t="s">
        <v>139</v>
      </c>
      <c r="B90" s="13" t="s">
        <v>140</v>
      </c>
      <c r="C90" s="14" t="s">
        <v>141</v>
      </c>
      <c r="D90" s="13" t="s">
        <v>22</v>
      </c>
      <c r="E90" s="14" t="s">
        <v>143</v>
      </c>
      <c r="F90" s="15" t="s">
        <v>24</v>
      </c>
      <c r="G90" s="14"/>
    </row>
    <row x14ac:dyDescent="0.25" r="91" customHeight="1" ht="18.75">
      <c r="A91" s="13" t="s">
        <v>139</v>
      </c>
      <c r="B91" s="13" t="s">
        <v>140</v>
      </c>
      <c r="C91" s="14" t="s">
        <v>141</v>
      </c>
      <c r="D91" s="13" t="s">
        <v>22</v>
      </c>
      <c r="E91" s="14" t="s">
        <v>144</v>
      </c>
      <c r="F91" s="15" t="s">
        <v>24</v>
      </c>
      <c r="G91" s="14"/>
    </row>
    <row x14ac:dyDescent="0.25" r="92" customHeight="1" ht="18.75">
      <c r="A92" s="13" t="s">
        <v>139</v>
      </c>
      <c r="B92" s="13" t="s">
        <v>140</v>
      </c>
      <c r="C92" s="14" t="s">
        <v>141</v>
      </c>
      <c r="D92" s="13" t="s">
        <v>22</v>
      </c>
      <c r="E92" s="14" t="s">
        <v>145</v>
      </c>
      <c r="F92" s="15" t="s">
        <v>24</v>
      </c>
      <c r="G92" s="14"/>
    </row>
    <row x14ac:dyDescent="0.25" r="93" customHeight="1" ht="18.75">
      <c r="A93" s="13" t="s">
        <v>139</v>
      </c>
      <c r="B93" s="13" t="s">
        <v>140</v>
      </c>
      <c r="C93" s="14" t="s">
        <v>141</v>
      </c>
      <c r="D93" s="13" t="s">
        <v>22</v>
      </c>
      <c r="E93" s="14" t="s">
        <v>146</v>
      </c>
      <c r="F93" s="15" t="s">
        <v>24</v>
      </c>
      <c r="G93" s="14"/>
    </row>
    <row x14ac:dyDescent="0.25" r="94" customHeight="1" ht="18.75">
      <c r="A94" s="13" t="s">
        <v>139</v>
      </c>
      <c r="B94" s="13" t="s">
        <v>140</v>
      </c>
      <c r="C94" s="14" t="s">
        <v>141</v>
      </c>
      <c r="D94" s="13" t="s">
        <v>30</v>
      </c>
      <c r="E94" s="14" t="s">
        <v>147</v>
      </c>
      <c r="F94" s="15" t="s">
        <v>24</v>
      </c>
      <c r="G94" s="14"/>
    </row>
    <row x14ac:dyDescent="0.25" r="95" customHeight="1" ht="18.75">
      <c r="A95" s="13" t="s">
        <v>139</v>
      </c>
      <c r="B95" s="13" t="s">
        <v>140</v>
      </c>
      <c r="C95" s="14" t="s">
        <v>141</v>
      </c>
      <c r="D95" s="13" t="s">
        <v>33</v>
      </c>
      <c r="E95" s="14" t="s">
        <v>148</v>
      </c>
      <c r="F95" s="15" t="s">
        <v>24</v>
      </c>
      <c r="G95" s="14"/>
    </row>
    <row x14ac:dyDescent="0.25" r="96" customHeight="1" ht="18.75">
      <c r="A96" s="13" t="s">
        <v>149</v>
      </c>
      <c r="B96" s="13" t="s">
        <v>150</v>
      </c>
      <c r="C96" s="14" t="s">
        <v>151</v>
      </c>
      <c r="D96" s="13" t="s">
        <v>22</v>
      </c>
      <c r="E96" s="14" t="s">
        <v>152</v>
      </c>
      <c r="F96" s="15" t="s">
        <v>24</v>
      </c>
      <c r="G96" s="14"/>
    </row>
    <row x14ac:dyDescent="0.25" r="97" customHeight="1" ht="18.75">
      <c r="A97" s="13" t="s">
        <v>149</v>
      </c>
      <c r="B97" s="13" t="s">
        <v>150</v>
      </c>
      <c r="C97" s="14" t="s">
        <v>151</v>
      </c>
      <c r="D97" s="13" t="s">
        <v>22</v>
      </c>
      <c r="E97" s="14" t="s">
        <v>153</v>
      </c>
      <c r="F97" s="15" t="s">
        <v>24</v>
      </c>
      <c r="G97" s="14"/>
    </row>
    <row x14ac:dyDescent="0.25" r="98" customHeight="1" ht="18.75">
      <c r="A98" s="13" t="s">
        <v>149</v>
      </c>
      <c r="B98" s="13" t="s">
        <v>150</v>
      </c>
      <c r="C98" s="14" t="s">
        <v>151</v>
      </c>
      <c r="D98" s="13" t="s">
        <v>22</v>
      </c>
      <c r="E98" s="14" t="s">
        <v>154</v>
      </c>
      <c r="F98" s="15" t="s">
        <v>24</v>
      </c>
      <c r="G98" s="14"/>
    </row>
    <row x14ac:dyDescent="0.25" r="99" customHeight="1" ht="18.75">
      <c r="A99" s="13" t="s">
        <v>149</v>
      </c>
      <c r="B99" s="13" t="s">
        <v>150</v>
      </c>
      <c r="C99" s="14" t="s">
        <v>151</v>
      </c>
      <c r="D99" s="13" t="s">
        <v>22</v>
      </c>
      <c r="E99" s="14" t="s">
        <v>155</v>
      </c>
      <c r="F99" s="15" t="s">
        <v>24</v>
      </c>
      <c r="G99" s="14"/>
    </row>
    <row x14ac:dyDescent="0.25" r="100" customHeight="1" ht="18.75">
      <c r="A100" s="13" t="s">
        <v>149</v>
      </c>
      <c r="B100" s="13" t="s">
        <v>150</v>
      </c>
      <c r="C100" s="14" t="s">
        <v>151</v>
      </c>
      <c r="D100" s="13" t="s">
        <v>30</v>
      </c>
      <c r="E100" s="14" t="s">
        <v>156</v>
      </c>
      <c r="F100" s="15" t="s">
        <v>24</v>
      </c>
      <c r="G100" s="14"/>
    </row>
    <row x14ac:dyDescent="0.25" r="101" customHeight="1" ht="18.75">
      <c r="A101" s="13" t="s">
        <v>149</v>
      </c>
      <c r="B101" s="13" t="s">
        <v>150</v>
      </c>
      <c r="C101" s="14" t="s">
        <v>151</v>
      </c>
      <c r="D101" s="13" t="s">
        <v>33</v>
      </c>
      <c r="E101" s="14" t="s">
        <v>157</v>
      </c>
      <c r="F101" s="15" t="s">
        <v>24</v>
      </c>
      <c r="G101" s="14"/>
    </row>
    <row x14ac:dyDescent="0.25" r="102" customHeight="1" ht="18.75">
      <c r="A102" s="13" t="s">
        <v>158</v>
      </c>
      <c r="B102" s="13" t="s">
        <v>159</v>
      </c>
      <c r="C102" s="14" t="s">
        <v>160</v>
      </c>
      <c r="D102" s="13" t="s">
        <v>22</v>
      </c>
      <c r="E102" s="14" t="s">
        <v>161</v>
      </c>
      <c r="F102" s="15" t="s">
        <v>24</v>
      </c>
      <c r="G102" s="14"/>
    </row>
    <row x14ac:dyDescent="0.25" r="103" customHeight="1" ht="18.75">
      <c r="A103" s="13" t="s">
        <v>158</v>
      </c>
      <c r="B103" s="13" t="s">
        <v>159</v>
      </c>
      <c r="C103" s="14" t="s">
        <v>160</v>
      </c>
      <c r="D103" s="13" t="s">
        <v>22</v>
      </c>
      <c r="E103" s="14" t="s">
        <v>162</v>
      </c>
      <c r="F103" s="15" t="s">
        <v>24</v>
      </c>
      <c r="G103" s="14"/>
    </row>
    <row x14ac:dyDescent="0.25" r="104" customHeight="1" ht="18.75">
      <c r="A104" s="13" t="s">
        <v>158</v>
      </c>
      <c r="B104" s="13" t="s">
        <v>159</v>
      </c>
      <c r="C104" s="14" t="s">
        <v>160</v>
      </c>
      <c r="D104" s="13" t="s">
        <v>22</v>
      </c>
      <c r="E104" s="14" t="s">
        <v>163</v>
      </c>
      <c r="F104" s="15" t="s">
        <v>24</v>
      </c>
      <c r="G104" s="14"/>
    </row>
    <row x14ac:dyDescent="0.25" r="105" customHeight="1" ht="18.75">
      <c r="A105" s="13" t="s">
        <v>158</v>
      </c>
      <c r="B105" s="13" t="s">
        <v>159</v>
      </c>
      <c r="C105" s="14" t="s">
        <v>160</v>
      </c>
      <c r="D105" s="13" t="s">
        <v>30</v>
      </c>
      <c r="E105" s="14" t="s">
        <v>164</v>
      </c>
      <c r="F105" s="15" t="s">
        <v>24</v>
      </c>
      <c r="G105" s="14"/>
    </row>
    <row x14ac:dyDescent="0.25" r="106" customHeight="1" ht="18.75">
      <c r="A106" s="13" t="s">
        <v>158</v>
      </c>
      <c r="B106" s="13" t="s">
        <v>159</v>
      </c>
      <c r="C106" s="14" t="s">
        <v>160</v>
      </c>
      <c r="D106" s="13" t="s">
        <v>33</v>
      </c>
      <c r="E106" s="14" t="s">
        <v>165</v>
      </c>
      <c r="F106" s="15" t="s">
        <v>24</v>
      </c>
      <c r="G106" s="14"/>
    </row>
    <row x14ac:dyDescent="0.25" r="107" customHeight="1" ht="18.75">
      <c r="A107" s="13" t="s">
        <v>166</v>
      </c>
      <c r="B107" s="13" t="s">
        <v>167</v>
      </c>
      <c r="C107" s="14" t="s">
        <v>168</v>
      </c>
      <c r="D107" s="13" t="s">
        <v>22</v>
      </c>
      <c r="E107" s="14" t="s">
        <v>169</v>
      </c>
      <c r="F107" s="15" t="s">
        <v>24</v>
      </c>
      <c r="G107" s="14"/>
    </row>
    <row x14ac:dyDescent="0.25" r="108" customHeight="1" ht="18.75">
      <c r="A108" s="13" t="s">
        <v>166</v>
      </c>
      <c r="B108" s="13" t="s">
        <v>167</v>
      </c>
      <c r="C108" s="14" t="s">
        <v>168</v>
      </c>
      <c r="D108" s="13" t="s">
        <v>22</v>
      </c>
      <c r="E108" s="14" t="s">
        <v>170</v>
      </c>
      <c r="F108" s="15" t="s">
        <v>24</v>
      </c>
      <c r="G108" s="14"/>
    </row>
    <row x14ac:dyDescent="0.25" r="109" customHeight="1" ht="18.75">
      <c r="A109" s="13" t="s">
        <v>166</v>
      </c>
      <c r="B109" s="13" t="s">
        <v>167</v>
      </c>
      <c r="C109" s="14" t="s">
        <v>168</v>
      </c>
      <c r="D109" s="13" t="s">
        <v>22</v>
      </c>
      <c r="E109" s="14" t="s">
        <v>171</v>
      </c>
      <c r="F109" s="15" t="s">
        <v>24</v>
      </c>
      <c r="G109" s="14"/>
    </row>
    <row x14ac:dyDescent="0.25" r="110" customHeight="1" ht="18.75">
      <c r="A110" s="13" t="s">
        <v>166</v>
      </c>
      <c r="B110" s="13" t="s">
        <v>167</v>
      </c>
      <c r="C110" s="14" t="s">
        <v>168</v>
      </c>
      <c r="D110" s="13" t="s">
        <v>30</v>
      </c>
      <c r="E110" s="14" t="s">
        <v>172</v>
      </c>
      <c r="F110" s="15" t="s">
        <v>24</v>
      </c>
      <c r="G110" s="14"/>
    </row>
    <row x14ac:dyDescent="0.25" r="111" customHeight="1" ht="18.75">
      <c r="A111" s="13" t="s">
        <v>166</v>
      </c>
      <c r="B111" s="13" t="s">
        <v>167</v>
      </c>
      <c r="C111" s="14" t="s">
        <v>168</v>
      </c>
      <c r="D111" s="13" t="s">
        <v>33</v>
      </c>
      <c r="E111" s="14" t="s">
        <v>173</v>
      </c>
      <c r="F111" s="15" t="s">
        <v>24</v>
      </c>
      <c r="G111" s="14"/>
    </row>
    <row x14ac:dyDescent="0.25" r="112" customHeight="1" ht="18.75">
      <c r="A112" s="13" t="s">
        <v>174</v>
      </c>
      <c r="B112" s="13" t="s">
        <v>175</v>
      </c>
      <c r="C112" s="14" t="s">
        <v>176</v>
      </c>
      <c r="D112" s="13" t="s">
        <v>22</v>
      </c>
      <c r="E112" s="14" t="s">
        <v>177</v>
      </c>
      <c r="F112" s="15" t="s">
        <v>24</v>
      </c>
      <c r="G112" s="14"/>
    </row>
    <row x14ac:dyDescent="0.25" r="113" customHeight="1" ht="18.75">
      <c r="A113" s="13" t="s">
        <v>174</v>
      </c>
      <c r="B113" s="13" t="s">
        <v>175</v>
      </c>
      <c r="C113" s="14" t="s">
        <v>176</v>
      </c>
      <c r="D113" s="13" t="s">
        <v>22</v>
      </c>
      <c r="E113" s="14" t="s">
        <v>170</v>
      </c>
      <c r="F113" s="15" t="s">
        <v>24</v>
      </c>
      <c r="G113" s="14"/>
    </row>
    <row x14ac:dyDescent="0.25" r="114" customHeight="1" ht="18.75">
      <c r="A114" s="13" t="s">
        <v>174</v>
      </c>
      <c r="B114" s="13" t="s">
        <v>175</v>
      </c>
      <c r="C114" s="14" t="s">
        <v>176</v>
      </c>
      <c r="D114" s="13" t="s">
        <v>22</v>
      </c>
      <c r="E114" s="14" t="s">
        <v>178</v>
      </c>
      <c r="F114" s="15" t="s">
        <v>24</v>
      </c>
      <c r="G114" s="14"/>
    </row>
    <row x14ac:dyDescent="0.25" r="115" customHeight="1" ht="18.75">
      <c r="A115" s="13" t="s">
        <v>174</v>
      </c>
      <c r="B115" s="13" t="s">
        <v>175</v>
      </c>
      <c r="C115" s="14" t="s">
        <v>176</v>
      </c>
      <c r="D115" s="13" t="s">
        <v>30</v>
      </c>
      <c r="E115" s="14" t="s">
        <v>179</v>
      </c>
      <c r="F115" s="15" t="s">
        <v>24</v>
      </c>
      <c r="G115" s="14"/>
    </row>
    <row x14ac:dyDescent="0.25" r="116" customHeight="1" ht="18.75">
      <c r="A116" s="13" t="s">
        <v>174</v>
      </c>
      <c r="B116" s="13" t="s">
        <v>175</v>
      </c>
      <c r="C116" s="14" t="s">
        <v>176</v>
      </c>
      <c r="D116" s="13" t="s">
        <v>33</v>
      </c>
      <c r="E116" s="14" t="s">
        <v>180</v>
      </c>
      <c r="F116" s="15" t="s">
        <v>24</v>
      </c>
      <c r="G116" s="14"/>
    </row>
    <row x14ac:dyDescent="0.25" r="117" customHeight="1" ht="18.75">
      <c r="A117" s="13" t="s">
        <v>181</v>
      </c>
      <c r="B117" s="13" t="s">
        <v>182</v>
      </c>
      <c r="C117" s="14" t="s">
        <v>183</v>
      </c>
      <c r="D117" s="13" t="s">
        <v>22</v>
      </c>
      <c r="E117" s="14" t="s">
        <v>184</v>
      </c>
      <c r="F117" s="15" t="s">
        <v>24</v>
      </c>
      <c r="G117" s="14"/>
    </row>
    <row x14ac:dyDescent="0.25" r="118" customHeight="1" ht="18.75">
      <c r="A118" s="13" t="s">
        <v>181</v>
      </c>
      <c r="B118" s="13" t="s">
        <v>182</v>
      </c>
      <c r="C118" s="14" t="s">
        <v>183</v>
      </c>
      <c r="D118" s="13" t="s">
        <v>22</v>
      </c>
      <c r="E118" s="14" t="s">
        <v>185</v>
      </c>
      <c r="F118" s="15" t="s">
        <v>24</v>
      </c>
      <c r="G118" s="14"/>
    </row>
    <row x14ac:dyDescent="0.25" r="119" customHeight="1" ht="18.75">
      <c r="A119" s="13" t="s">
        <v>181</v>
      </c>
      <c r="B119" s="13" t="s">
        <v>182</v>
      </c>
      <c r="C119" s="14" t="s">
        <v>183</v>
      </c>
      <c r="D119" s="13" t="s">
        <v>22</v>
      </c>
      <c r="E119" s="14" t="s">
        <v>186</v>
      </c>
      <c r="F119" s="15" t="s">
        <v>24</v>
      </c>
      <c r="G119" s="14"/>
    </row>
    <row x14ac:dyDescent="0.25" r="120" customHeight="1" ht="18.75">
      <c r="A120" s="13" t="s">
        <v>181</v>
      </c>
      <c r="B120" s="13" t="s">
        <v>182</v>
      </c>
      <c r="C120" s="14" t="s">
        <v>183</v>
      </c>
      <c r="D120" s="13" t="s">
        <v>22</v>
      </c>
      <c r="E120" s="14" t="s">
        <v>187</v>
      </c>
      <c r="F120" s="15" t="s">
        <v>24</v>
      </c>
      <c r="G120" s="14"/>
    </row>
    <row x14ac:dyDescent="0.25" r="121" customHeight="1" ht="18.75">
      <c r="A121" s="13" t="s">
        <v>181</v>
      </c>
      <c r="B121" s="13" t="s">
        <v>182</v>
      </c>
      <c r="C121" s="14" t="s">
        <v>183</v>
      </c>
      <c r="D121" s="13" t="s">
        <v>30</v>
      </c>
      <c r="E121" s="14" t="s">
        <v>188</v>
      </c>
      <c r="F121" s="15" t="s">
        <v>24</v>
      </c>
      <c r="G121" s="14"/>
    </row>
    <row x14ac:dyDescent="0.25" r="122" customHeight="1" ht="18.75">
      <c r="A122" s="13" t="s">
        <v>181</v>
      </c>
      <c r="B122" s="13" t="s">
        <v>182</v>
      </c>
      <c r="C122" s="14" t="s">
        <v>183</v>
      </c>
      <c r="D122" s="13" t="s">
        <v>33</v>
      </c>
      <c r="E122" s="14" t="s">
        <v>189</v>
      </c>
      <c r="F122" s="15" t="s">
        <v>24</v>
      </c>
      <c r="G122" s="14"/>
    </row>
    <row x14ac:dyDescent="0.25" r="123" customHeight="1" ht="18.75">
      <c r="A123" s="13" t="s">
        <v>190</v>
      </c>
      <c r="B123" s="13" t="s">
        <v>191</v>
      </c>
      <c r="C123" s="14" t="s">
        <v>192</v>
      </c>
      <c r="D123" s="13" t="s">
        <v>22</v>
      </c>
      <c r="E123" s="14" t="s">
        <v>193</v>
      </c>
      <c r="F123" s="15" t="s">
        <v>24</v>
      </c>
      <c r="G123" s="14"/>
    </row>
    <row x14ac:dyDescent="0.25" r="124" customHeight="1" ht="18.75">
      <c r="A124" s="13" t="s">
        <v>190</v>
      </c>
      <c r="B124" s="13" t="s">
        <v>191</v>
      </c>
      <c r="C124" s="14" t="s">
        <v>192</v>
      </c>
      <c r="D124" s="13" t="s">
        <v>22</v>
      </c>
      <c r="E124" s="14" t="s">
        <v>194</v>
      </c>
      <c r="F124" s="15" t="s">
        <v>24</v>
      </c>
      <c r="G124" s="14"/>
    </row>
    <row x14ac:dyDescent="0.25" r="125" customHeight="1" ht="18.75">
      <c r="A125" s="13" t="s">
        <v>190</v>
      </c>
      <c r="B125" s="13" t="s">
        <v>191</v>
      </c>
      <c r="C125" s="14" t="s">
        <v>192</v>
      </c>
      <c r="D125" s="13" t="s">
        <v>22</v>
      </c>
      <c r="E125" s="14" t="s">
        <v>195</v>
      </c>
      <c r="F125" s="15" t="s">
        <v>24</v>
      </c>
      <c r="G125" s="14"/>
    </row>
    <row x14ac:dyDescent="0.25" r="126" customHeight="1" ht="18.75">
      <c r="A126" s="13" t="s">
        <v>190</v>
      </c>
      <c r="B126" s="13" t="s">
        <v>191</v>
      </c>
      <c r="C126" s="14" t="s">
        <v>192</v>
      </c>
      <c r="D126" s="13" t="s">
        <v>22</v>
      </c>
      <c r="E126" s="14" t="s">
        <v>196</v>
      </c>
      <c r="F126" s="15" t="s">
        <v>24</v>
      </c>
      <c r="G126" s="14"/>
    </row>
    <row x14ac:dyDescent="0.25" r="127" customHeight="1" ht="18.75">
      <c r="A127" s="13" t="s">
        <v>190</v>
      </c>
      <c r="B127" s="13" t="s">
        <v>191</v>
      </c>
      <c r="C127" s="14" t="s">
        <v>192</v>
      </c>
      <c r="D127" s="13" t="s">
        <v>30</v>
      </c>
      <c r="E127" s="14" t="s">
        <v>197</v>
      </c>
      <c r="F127" s="15" t="s">
        <v>24</v>
      </c>
      <c r="G127" s="14"/>
    </row>
    <row x14ac:dyDescent="0.25" r="128" customHeight="1" ht="18.75">
      <c r="A128" s="13" t="s">
        <v>190</v>
      </c>
      <c r="B128" s="13" t="s">
        <v>191</v>
      </c>
      <c r="C128" s="14" t="s">
        <v>192</v>
      </c>
      <c r="D128" s="13" t="s">
        <v>33</v>
      </c>
      <c r="E128" s="14" t="s">
        <v>198</v>
      </c>
      <c r="F128" s="15" t="s">
        <v>24</v>
      </c>
      <c r="G128" s="14"/>
    </row>
    <row x14ac:dyDescent="0.25" r="129" customHeight="1" ht="18.75">
      <c r="A129" s="13" t="s">
        <v>199</v>
      </c>
      <c r="B129" s="13" t="s">
        <v>200</v>
      </c>
      <c r="C129" s="14" t="s">
        <v>201</v>
      </c>
      <c r="D129" s="13" t="s">
        <v>22</v>
      </c>
      <c r="E129" s="14" t="s">
        <v>202</v>
      </c>
      <c r="F129" s="15" t="s">
        <v>24</v>
      </c>
      <c r="G129" s="14"/>
    </row>
    <row x14ac:dyDescent="0.25" r="130" customHeight="1" ht="18.75">
      <c r="A130" s="13" t="s">
        <v>199</v>
      </c>
      <c r="B130" s="13" t="s">
        <v>200</v>
      </c>
      <c r="C130" s="14" t="s">
        <v>201</v>
      </c>
      <c r="D130" s="13" t="s">
        <v>22</v>
      </c>
      <c r="E130" s="14" t="s">
        <v>203</v>
      </c>
      <c r="F130" s="15" t="s">
        <v>24</v>
      </c>
      <c r="G130" s="14"/>
    </row>
    <row x14ac:dyDescent="0.25" r="131" customHeight="1" ht="18.75">
      <c r="A131" s="13" t="s">
        <v>199</v>
      </c>
      <c r="B131" s="13" t="s">
        <v>200</v>
      </c>
      <c r="C131" s="14" t="s">
        <v>201</v>
      </c>
      <c r="D131" s="13" t="s">
        <v>22</v>
      </c>
      <c r="E131" s="14" t="s">
        <v>204</v>
      </c>
      <c r="F131" s="15" t="s">
        <v>24</v>
      </c>
      <c r="G131" s="14"/>
    </row>
    <row x14ac:dyDescent="0.25" r="132" customHeight="1" ht="18.75">
      <c r="A132" s="13" t="s">
        <v>199</v>
      </c>
      <c r="B132" s="13" t="s">
        <v>200</v>
      </c>
      <c r="C132" s="14" t="s">
        <v>201</v>
      </c>
      <c r="D132" s="13" t="s">
        <v>22</v>
      </c>
      <c r="E132" s="14" t="s">
        <v>205</v>
      </c>
      <c r="F132" s="15" t="s">
        <v>24</v>
      </c>
      <c r="G132" s="14"/>
    </row>
    <row x14ac:dyDescent="0.25" r="133" customHeight="1" ht="18.75">
      <c r="A133" s="13" t="s">
        <v>199</v>
      </c>
      <c r="B133" s="13" t="s">
        <v>200</v>
      </c>
      <c r="C133" s="14" t="s">
        <v>201</v>
      </c>
      <c r="D133" s="13" t="s">
        <v>30</v>
      </c>
      <c r="E133" s="14" t="s">
        <v>206</v>
      </c>
      <c r="F133" s="15" t="s">
        <v>24</v>
      </c>
      <c r="G133" s="14"/>
    </row>
    <row x14ac:dyDescent="0.25" r="134" customHeight="1" ht="18.75">
      <c r="A134" s="13" t="s">
        <v>199</v>
      </c>
      <c r="B134" s="13" t="s">
        <v>200</v>
      </c>
      <c r="C134" s="14" t="s">
        <v>201</v>
      </c>
      <c r="D134" s="13" t="s">
        <v>33</v>
      </c>
      <c r="E134" s="14" t="s">
        <v>207</v>
      </c>
      <c r="F134" s="15" t="s">
        <v>24</v>
      </c>
      <c r="G134" s="14"/>
    </row>
    <row x14ac:dyDescent="0.25" r="135" customHeight="1" ht="18.75">
      <c r="A135" s="13" t="s">
        <v>208</v>
      </c>
      <c r="B135" s="13" t="s">
        <v>209</v>
      </c>
      <c r="C135" s="14" t="s">
        <v>210</v>
      </c>
      <c r="D135" s="13" t="s">
        <v>22</v>
      </c>
      <c r="E135" s="14" t="s">
        <v>211</v>
      </c>
      <c r="F135" s="15" t="s">
        <v>24</v>
      </c>
      <c r="G135" s="14"/>
    </row>
    <row x14ac:dyDescent="0.25" r="136" customHeight="1" ht="18.75">
      <c r="A136" s="13" t="s">
        <v>208</v>
      </c>
      <c r="B136" s="13" t="s">
        <v>209</v>
      </c>
      <c r="C136" s="14" t="s">
        <v>210</v>
      </c>
      <c r="D136" s="13" t="s">
        <v>22</v>
      </c>
      <c r="E136" s="14" t="s">
        <v>212</v>
      </c>
      <c r="F136" s="15" t="s">
        <v>24</v>
      </c>
      <c r="G136" s="14"/>
    </row>
    <row x14ac:dyDescent="0.25" r="137" customHeight="1" ht="18.75">
      <c r="A137" s="13" t="s">
        <v>208</v>
      </c>
      <c r="B137" s="13" t="s">
        <v>209</v>
      </c>
      <c r="C137" s="14" t="s">
        <v>210</v>
      </c>
      <c r="D137" s="13" t="s">
        <v>22</v>
      </c>
      <c r="E137" s="14" t="s">
        <v>213</v>
      </c>
      <c r="F137" s="15" t="s">
        <v>24</v>
      </c>
      <c r="G137" s="14"/>
    </row>
    <row x14ac:dyDescent="0.25" r="138" customHeight="1" ht="18.75">
      <c r="A138" s="13" t="s">
        <v>208</v>
      </c>
      <c r="B138" s="13" t="s">
        <v>209</v>
      </c>
      <c r="C138" s="14" t="s">
        <v>210</v>
      </c>
      <c r="D138" s="13" t="s">
        <v>30</v>
      </c>
      <c r="E138" s="14" t="s">
        <v>214</v>
      </c>
      <c r="F138" s="15" t="s">
        <v>24</v>
      </c>
      <c r="G138" s="14"/>
    </row>
    <row x14ac:dyDescent="0.25" r="139" customHeight="1" ht="18.75">
      <c r="A139" s="13" t="s">
        <v>208</v>
      </c>
      <c r="B139" s="13" t="s">
        <v>209</v>
      </c>
      <c r="C139" s="14" t="s">
        <v>210</v>
      </c>
      <c r="D139" s="13" t="s">
        <v>33</v>
      </c>
      <c r="E139" s="14" t="s">
        <v>215</v>
      </c>
      <c r="F139" s="15" t="s">
        <v>24</v>
      </c>
      <c r="G139" s="14"/>
    </row>
    <row x14ac:dyDescent="0.25" r="140" customHeight="1" ht="18.75">
      <c r="A140" s="13" t="s">
        <v>216</v>
      </c>
      <c r="B140" s="13" t="s">
        <v>217</v>
      </c>
      <c r="C140" s="14" t="s">
        <v>218</v>
      </c>
      <c r="D140" s="13" t="s">
        <v>22</v>
      </c>
      <c r="E140" s="14" t="s">
        <v>219</v>
      </c>
      <c r="F140" s="15" t="s">
        <v>24</v>
      </c>
      <c r="G140" s="14"/>
    </row>
    <row x14ac:dyDescent="0.25" r="141" customHeight="1" ht="18.75">
      <c r="A141" s="13" t="s">
        <v>216</v>
      </c>
      <c r="B141" s="13" t="s">
        <v>217</v>
      </c>
      <c r="C141" s="14" t="s">
        <v>218</v>
      </c>
      <c r="D141" s="13" t="s">
        <v>22</v>
      </c>
      <c r="E141" s="14" t="s">
        <v>220</v>
      </c>
      <c r="F141" s="15" t="s">
        <v>24</v>
      </c>
      <c r="G141" s="14"/>
    </row>
    <row x14ac:dyDescent="0.25" r="142" customHeight="1" ht="18.75">
      <c r="A142" s="13" t="s">
        <v>216</v>
      </c>
      <c r="B142" s="13" t="s">
        <v>217</v>
      </c>
      <c r="C142" s="14" t="s">
        <v>218</v>
      </c>
      <c r="D142" s="13" t="s">
        <v>22</v>
      </c>
      <c r="E142" s="14" t="s">
        <v>221</v>
      </c>
      <c r="F142" s="15" t="s">
        <v>24</v>
      </c>
      <c r="G142" s="14"/>
    </row>
    <row x14ac:dyDescent="0.25" r="143" customHeight="1" ht="18.75">
      <c r="A143" s="13" t="s">
        <v>216</v>
      </c>
      <c r="B143" s="13" t="s">
        <v>217</v>
      </c>
      <c r="C143" s="14" t="s">
        <v>218</v>
      </c>
      <c r="D143" s="13" t="s">
        <v>22</v>
      </c>
      <c r="E143" s="14" t="s">
        <v>222</v>
      </c>
      <c r="F143" s="15" t="s">
        <v>24</v>
      </c>
      <c r="G143" s="14"/>
    </row>
    <row x14ac:dyDescent="0.25" r="144" customHeight="1" ht="18.75">
      <c r="A144" s="13" t="s">
        <v>216</v>
      </c>
      <c r="B144" s="13" t="s">
        <v>217</v>
      </c>
      <c r="C144" s="14" t="s">
        <v>218</v>
      </c>
      <c r="D144" s="13" t="s">
        <v>30</v>
      </c>
      <c r="E144" s="14" t="s">
        <v>223</v>
      </c>
      <c r="F144" s="15" t="s">
        <v>24</v>
      </c>
      <c r="G144" s="14"/>
    </row>
    <row x14ac:dyDescent="0.25" r="145" customHeight="1" ht="18.75">
      <c r="A145" s="13" t="s">
        <v>216</v>
      </c>
      <c r="B145" s="13" t="s">
        <v>217</v>
      </c>
      <c r="C145" s="14" t="s">
        <v>218</v>
      </c>
      <c r="D145" s="13" t="s">
        <v>33</v>
      </c>
      <c r="E145" s="14" t="s">
        <v>72</v>
      </c>
      <c r="F145" s="15" t="s">
        <v>24</v>
      </c>
      <c r="G145" s="14"/>
    </row>
    <row x14ac:dyDescent="0.25" r="146" customHeight="1" ht="18.75">
      <c r="A146" s="13" t="s">
        <v>224</v>
      </c>
      <c r="B146" s="13" t="s">
        <v>225</v>
      </c>
      <c r="C146" s="14" t="s">
        <v>226</v>
      </c>
      <c r="D146" s="13" t="s">
        <v>22</v>
      </c>
      <c r="E146" s="14" t="s">
        <v>227</v>
      </c>
      <c r="F146" s="15" t="s">
        <v>24</v>
      </c>
      <c r="G146" s="14"/>
    </row>
    <row x14ac:dyDescent="0.25" r="147" customHeight="1" ht="18.75">
      <c r="A147" s="13" t="s">
        <v>224</v>
      </c>
      <c r="B147" s="13" t="s">
        <v>225</v>
      </c>
      <c r="C147" s="14" t="s">
        <v>226</v>
      </c>
      <c r="D147" s="13" t="s">
        <v>22</v>
      </c>
      <c r="E147" s="14" t="s">
        <v>228</v>
      </c>
      <c r="F147" s="15" t="s">
        <v>24</v>
      </c>
      <c r="G147" s="14"/>
    </row>
    <row x14ac:dyDescent="0.25" r="148" customHeight="1" ht="18.75">
      <c r="A148" s="13" t="s">
        <v>224</v>
      </c>
      <c r="B148" s="13" t="s">
        <v>225</v>
      </c>
      <c r="C148" s="14" t="s">
        <v>226</v>
      </c>
      <c r="D148" s="13" t="s">
        <v>22</v>
      </c>
      <c r="E148" s="14" t="s">
        <v>229</v>
      </c>
      <c r="F148" s="15" t="s">
        <v>24</v>
      </c>
      <c r="G148" s="14"/>
    </row>
    <row x14ac:dyDescent="0.25" r="149" customHeight="1" ht="18.75">
      <c r="A149" s="13" t="s">
        <v>224</v>
      </c>
      <c r="B149" s="13" t="s">
        <v>225</v>
      </c>
      <c r="C149" s="14" t="s">
        <v>226</v>
      </c>
      <c r="D149" s="13" t="s">
        <v>22</v>
      </c>
      <c r="E149" s="14" t="s">
        <v>230</v>
      </c>
      <c r="F149" s="15" t="s">
        <v>24</v>
      </c>
      <c r="G149" s="14"/>
    </row>
    <row x14ac:dyDescent="0.25" r="150" customHeight="1" ht="18.75">
      <c r="A150" s="13" t="s">
        <v>224</v>
      </c>
      <c r="B150" s="13" t="s">
        <v>225</v>
      </c>
      <c r="C150" s="14" t="s">
        <v>226</v>
      </c>
      <c r="D150" s="13" t="s">
        <v>22</v>
      </c>
      <c r="E150" s="14" t="s">
        <v>231</v>
      </c>
      <c r="F150" s="15" t="s">
        <v>24</v>
      </c>
      <c r="G150" s="14"/>
    </row>
    <row x14ac:dyDescent="0.25" r="151" customHeight="1" ht="18.75">
      <c r="A151" s="13" t="s">
        <v>224</v>
      </c>
      <c r="B151" s="13" t="s">
        <v>225</v>
      </c>
      <c r="C151" s="14" t="s">
        <v>226</v>
      </c>
      <c r="D151" s="13" t="s">
        <v>30</v>
      </c>
      <c r="E151" s="14" t="s">
        <v>232</v>
      </c>
      <c r="F151" s="15" t="s">
        <v>24</v>
      </c>
      <c r="G151" s="14"/>
    </row>
    <row x14ac:dyDescent="0.25" r="152" customHeight="1" ht="18.75">
      <c r="A152" s="13" t="s">
        <v>224</v>
      </c>
      <c r="B152" s="13" t="s">
        <v>225</v>
      </c>
      <c r="C152" s="14" t="s">
        <v>226</v>
      </c>
      <c r="D152" s="13" t="s">
        <v>33</v>
      </c>
      <c r="E152" s="14" t="s">
        <v>233</v>
      </c>
      <c r="F152" s="15" t="s">
        <v>24</v>
      </c>
      <c r="G152" s="14"/>
    </row>
    <row x14ac:dyDescent="0.25" r="153" customHeight="1" ht="18.75">
      <c r="A153" s="13" t="s">
        <v>234</v>
      </c>
      <c r="B153" s="13" t="s">
        <v>235</v>
      </c>
      <c r="C153" s="14" t="s">
        <v>236</v>
      </c>
      <c r="D153" s="13" t="s">
        <v>22</v>
      </c>
      <c r="E153" s="14" t="s">
        <v>237</v>
      </c>
      <c r="F153" s="15" t="s">
        <v>24</v>
      </c>
      <c r="G153" s="14"/>
    </row>
    <row x14ac:dyDescent="0.25" r="154" customHeight="1" ht="18.75">
      <c r="A154" s="13" t="s">
        <v>234</v>
      </c>
      <c r="B154" s="13" t="s">
        <v>235</v>
      </c>
      <c r="C154" s="14" t="s">
        <v>236</v>
      </c>
      <c r="D154" s="13" t="s">
        <v>22</v>
      </c>
      <c r="E154" s="14" t="s">
        <v>238</v>
      </c>
      <c r="F154" s="15" t="s">
        <v>24</v>
      </c>
      <c r="G154" s="14"/>
    </row>
    <row x14ac:dyDescent="0.25" r="155" customHeight="1" ht="18.75">
      <c r="A155" s="13" t="s">
        <v>234</v>
      </c>
      <c r="B155" s="13" t="s">
        <v>235</v>
      </c>
      <c r="C155" s="14" t="s">
        <v>236</v>
      </c>
      <c r="D155" s="13" t="s">
        <v>22</v>
      </c>
      <c r="E155" s="14" t="s">
        <v>239</v>
      </c>
      <c r="F155" s="15" t="s">
        <v>24</v>
      </c>
      <c r="G155" s="14"/>
    </row>
    <row x14ac:dyDescent="0.25" r="156" customHeight="1" ht="18.75">
      <c r="A156" s="13" t="s">
        <v>234</v>
      </c>
      <c r="B156" s="13" t="s">
        <v>235</v>
      </c>
      <c r="C156" s="14" t="s">
        <v>236</v>
      </c>
      <c r="D156" s="13" t="s">
        <v>30</v>
      </c>
      <c r="E156" s="14" t="s">
        <v>240</v>
      </c>
      <c r="F156" s="15" t="s">
        <v>24</v>
      </c>
      <c r="G156" s="14"/>
    </row>
    <row x14ac:dyDescent="0.25" r="157" customHeight="1" ht="18.75">
      <c r="A157" s="13" t="s">
        <v>234</v>
      </c>
      <c r="B157" s="13" t="s">
        <v>235</v>
      </c>
      <c r="C157" s="14" t="s">
        <v>236</v>
      </c>
      <c r="D157" s="13" t="s">
        <v>33</v>
      </c>
      <c r="E157" s="14" t="s">
        <v>241</v>
      </c>
      <c r="F157" s="15" t="s">
        <v>24</v>
      </c>
      <c r="G157" s="14"/>
    </row>
    <row x14ac:dyDescent="0.25" r="158" customHeight="1" ht="18.75">
      <c r="A158" s="13" t="s">
        <v>242</v>
      </c>
      <c r="B158" s="13" t="s">
        <v>243</v>
      </c>
      <c r="C158" s="14" t="s">
        <v>244</v>
      </c>
      <c r="D158" s="13" t="s">
        <v>22</v>
      </c>
      <c r="E158" s="14" t="s">
        <v>245</v>
      </c>
      <c r="F158" s="15" t="s">
        <v>24</v>
      </c>
      <c r="G158" s="14"/>
    </row>
    <row x14ac:dyDescent="0.25" r="159" customHeight="1" ht="18.75">
      <c r="A159" s="13" t="s">
        <v>242</v>
      </c>
      <c r="B159" s="13" t="s">
        <v>243</v>
      </c>
      <c r="C159" s="14" t="s">
        <v>244</v>
      </c>
      <c r="D159" s="13" t="s">
        <v>22</v>
      </c>
      <c r="E159" s="14" t="s">
        <v>246</v>
      </c>
      <c r="F159" s="15" t="s">
        <v>24</v>
      </c>
      <c r="G159" s="14"/>
    </row>
    <row x14ac:dyDescent="0.25" r="160" customHeight="1" ht="18.75">
      <c r="A160" s="13" t="s">
        <v>242</v>
      </c>
      <c r="B160" s="13" t="s">
        <v>243</v>
      </c>
      <c r="C160" s="14" t="s">
        <v>244</v>
      </c>
      <c r="D160" s="13" t="s">
        <v>22</v>
      </c>
      <c r="E160" s="14" t="s">
        <v>247</v>
      </c>
      <c r="F160" s="15" t="s">
        <v>24</v>
      </c>
      <c r="G160" s="14"/>
    </row>
    <row x14ac:dyDescent="0.25" r="161" customHeight="1" ht="18.75">
      <c r="A161" s="13" t="s">
        <v>242</v>
      </c>
      <c r="B161" s="13" t="s">
        <v>243</v>
      </c>
      <c r="C161" s="14" t="s">
        <v>244</v>
      </c>
      <c r="D161" s="13" t="s">
        <v>22</v>
      </c>
      <c r="E161" s="14" t="s">
        <v>248</v>
      </c>
      <c r="F161" s="15" t="s">
        <v>24</v>
      </c>
      <c r="G161" s="14"/>
    </row>
    <row x14ac:dyDescent="0.25" r="162" customHeight="1" ht="18.75">
      <c r="A162" s="13" t="s">
        <v>242</v>
      </c>
      <c r="B162" s="13" t="s">
        <v>243</v>
      </c>
      <c r="C162" s="14" t="s">
        <v>244</v>
      </c>
      <c r="D162" s="13" t="s">
        <v>30</v>
      </c>
      <c r="E162" s="14" t="s">
        <v>249</v>
      </c>
      <c r="F162" s="15" t="s">
        <v>24</v>
      </c>
      <c r="G162" s="14"/>
    </row>
    <row x14ac:dyDescent="0.25" r="163" customHeight="1" ht="18.75">
      <c r="A163" s="13" t="s">
        <v>242</v>
      </c>
      <c r="B163" s="13" t="s">
        <v>243</v>
      </c>
      <c r="C163" s="14" t="s">
        <v>244</v>
      </c>
      <c r="D163" s="13" t="s">
        <v>33</v>
      </c>
      <c r="E163" s="14" t="s">
        <v>250</v>
      </c>
      <c r="F163" s="15" t="s">
        <v>24</v>
      </c>
      <c r="G163" s="14"/>
    </row>
    <row x14ac:dyDescent="0.25" r="164" customHeight="1" ht="18.75">
      <c r="A164" s="13" t="s">
        <v>251</v>
      </c>
      <c r="B164" s="13" t="s">
        <v>252</v>
      </c>
      <c r="C164" s="14" t="s">
        <v>253</v>
      </c>
      <c r="D164" s="13" t="s">
        <v>22</v>
      </c>
      <c r="E164" s="14" t="s">
        <v>254</v>
      </c>
      <c r="F164" s="15" t="s">
        <v>24</v>
      </c>
      <c r="G164" s="14"/>
    </row>
    <row x14ac:dyDescent="0.25" r="165" customHeight="1" ht="18.75">
      <c r="A165" s="13" t="s">
        <v>251</v>
      </c>
      <c r="B165" s="13" t="s">
        <v>252</v>
      </c>
      <c r="C165" s="14" t="s">
        <v>253</v>
      </c>
      <c r="D165" s="13" t="s">
        <v>22</v>
      </c>
      <c r="E165" s="14" t="s">
        <v>255</v>
      </c>
      <c r="F165" s="15" t="s">
        <v>24</v>
      </c>
      <c r="G165" s="14"/>
    </row>
    <row x14ac:dyDescent="0.25" r="166" customHeight="1" ht="18.75">
      <c r="A166" s="13" t="s">
        <v>251</v>
      </c>
      <c r="B166" s="13" t="s">
        <v>252</v>
      </c>
      <c r="C166" s="14" t="s">
        <v>253</v>
      </c>
      <c r="D166" s="13" t="s">
        <v>22</v>
      </c>
      <c r="E166" s="14" t="s">
        <v>256</v>
      </c>
      <c r="F166" s="15" t="s">
        <v>24</v>
      </c>
      <c r="G166" s="14"/>
    </row>
    <row x14ac:dyDescent="0.25" r="167" customHeight="1" ht="18.75">
      <c r="A167" s="13" t="s">
        <v>251</v>
      </c>
      <c r="B167" s="13" t="s">
        <v>252</v>
      </c>
      <c r="C167" s="14" t="s">
        <v>253</v>
      </c>
      <c r="D167" s="13" t="s">
        <v>22</v>
      </c>
      <c r="E167" s="14" t="s">
        <v>257</v>
      </c>
      <c r="F167" s="15" t="s">
        <v>24</v>
      </c>
      <c r="G167" s="14"/>
    </row>
    <row x14ac:dyDescent="0.25" r="168" customHeight="1" ht="18.75">
      <c r="A168" s="13" t="s">
        <v>251</v>
      </c>
      <c r="B168" s="13" t="s">
        <v>252</v>
      </c>
      <c r="C168" s="14" t="s">
        <v>253</v>
      </c>
      <c r="D168" s="13" t="s">
        <v>30</v>
      </c>
      <c r="E168" s="14" t="s">
        <v>258</v>
      </c>
      <c r="F168" s="15" t="s">
        <v>24</v>
      </c>
      <c r="G168" s="14"/>
    </row>
    <row x14ac:dyDescent="0.25" r="169" customHeight="1" ht="18.75">
      <c r="A169" s="13" t="s">
        <v>251</v>
      </c>
      <c r="B169" s="13" t="s">
        <v>252</v>
      </c>
      <c r="C169" s="14" t="s">
        <v>253</v>
      </c>
      <c r="D169" s="13" t="s">
        <v>33</v>
      </c>
      <c r="E169" s="14" t="s">
        <v>259</v>
      </c>
      <c r="F169" s="15" t="s">
        <v>24</v>
      </c>
      <c r="G169" s="14"/>
    </row>
    <row x14ac:dyDescent="0.25" r="170" customHeight="1" ht="18.75">
      <c r="A170" s="13" t="s">
        <v>260</v>
      </c>
      <c r="B170" s="13" t="s">
        <v>261</v>
      </c>
      <c r="C170" s="14" t="s">
        <v>262</v>
      </c>
      <c r="D170" s="13" t="s">
        <v>22</v>
      </c>
      <c r="E170" s="14" t="s">
        <v>263</v>
      </c>
      <c r="F170" s="15" t="s">
        <v>24</v>
      </c>
      <c r="G170" s="14"/>
    </row>
    <row x14ac:dyDescent="0.25" r="171" customHeight="1" ht="18.75">
      <c r="A171" s="13" t="s">
        <v>260</v>
      </c>
      <c r="B171" s="13" t="s">
        <v>261</v>
      </c>
      <c r="C171" s="14" t="s">
        <v>262</v>
      </c>
      <c r="D171" s="13" t="s">
        <v>22</v>
      </c>
      <c r="E171" s="14" t="s">
        <v>264</v>
      </c>
      <c r="F171" s="15" t="s">
        <v>24</v>
      </c>
      <c r="G171" s="14"/>
    </row>
    <row x14ac:dyDescent="0.25" r="172" customHeight="1" ht="18.75">
      <c r="A172" s="13" t="s">
        <v>260</v>
      </c>
      <c r="B172" s="13" t="s">
        <v>261</v>
      </c>
      <c r="C172" s="14" t="s">
        <v>262</v>
      </c>
      <c r="D172" s="13" t="s">
        <v>22</v>
      </c>
      <c r="E172" s="14" t="s">
        <v>265</v>
      </c>
      <c r="F172" s="15" t="s">
        <v>24</v>
      </c>
      <c r="G172" s="14"/>
    </row>
    <row x14ac:dyDescent="0.25" r="173" customHeight="1" ht="18.75">
      <c r="A173" s="13" t="s">
        <v>260</v>
      </c>
      <c r="B173" s="13" t="s">
        <v>261</v>
      </c>
      <c r="C173" s="14" t="s">
        <v>262</v>
      </c>
      <c r="D173" s="13" t="s">
        <v>22</v>
      </c>
      <c r="E173" s="14" t="s">
        <v>266</v>
      </c>
      <c r="F173" s="15" t="s">
        <v>24</v>
      </c>
      <c r="G173" s="14"/>
    </row>
    <row x14ac:dyDescent="0.25" r="174" customHeight="1" ht="18.75">
      <c r="A174" s="13" t="s">
        <v>260</v>
      </c>
      <c r="B174" s="13" t="s">
        <v>261</v>
      </c>
      <c r="C174" s="14" t="s">
        <v>262</v>
      </c>
      <c r="D174" s="13" t="s">
        <v>30</v>
      </c>
      <c r="E174" s="14" t="s">
        <v>267</v>
      </c>
      <c r="F174" s="15" t="s">
        <v>24</v>
      </c>
      <c r="G174" s="14"/>
    </row>
    <row x14ac:dyDescent="0.25" r="175" customHeight="1" ht="18.75">
      <c r="A175" s="13" t="s">
        <v>260</v>
      </c>
      <c r="B175" s="13" t="s">
        <v>261</v>
      </c>
      <c r="C175" s="14" t="s">
        <v>262</v>
      </c>
      <c r="D175" s="13" t="s">
        <v>33</v>
      </c>
      <c r="E175" s="14" t="s">
        <v>268</v>
      </c>
      <c r="F175" s="15" t="s">
        <v>24</v>
      </c>
      <c r="G175" s="14"/>
    </row>
    <row x14ac:dyDescent="0.25" r="176" customHeight="1" ht="18.75">
      <c r="A176" s="13" t="s">
        <v>269</v>
      </c>
      <c r="B176" s="13" t="s">
        <v>270</v>
      </c>
      <c r="C176" s="14" t="s">
        <v>271</v>
      </c>
      <c r="D176" s="13" t="s">
        <v>22</v>
      </c>
      <c r="E176" s="14" t="s">
        <v>272</v>
      </c>
      <c r="F176" s="15" t="s">
        <v>24</v>
      </c>
      <c r="G176" s="14"/>
    </row>
    <row x14ac:dyDescent="0.25" r="177" customHeight="1" ht="18.75">
      <c r="A177" s="13" t="s">
        <v>269</v>
      </c>
      <c r="B177" s="13" t="s">
        <v>270</v>
      </c>
      <c r="C177" s="14" t="s">
        <v>271</v>
      </c>
      <c r="D177" s="13" t="s">
        <v>22</v>
      </c>
      <c r="E177" s="14" t="s">
        <v>273</v>
      </c>
      <c r="F177" s="15" t="s">
        <v>24</v>
      </c>
      <c r="G177" s="14"/>
    </row>
    <row x14ac:dyDescent="0.25" r="178" customHeight="1" ht="18.75">
      <c r="A178" s="13" t="s">
        <v>269</v>
      </c>
      <c r="B178" s="13" t="s">
        <v>270</v>
      </c>
      <c r="C178" s="14" t="s">
        <v>271</v>
      </c>
      <c r="D178" s="13" t="s">
        <v>22</v>
      </c>
      <c r="E178" s="14" t="s">
        <v>274</v>
      </c>
      <c r="F178" s="15" t="s">
        <v>24</v>
      </c>
      <c r="G178" s="14"/>
    </row>
    <row x14ac:dyDescent="0.25" r="179" customHeight="1" ht="18.75">
      <c r="A179" s="13" t="s">
        <v>269</v>
      </c>
      <c r="B179" s="13" t="s">
        <v>270</v>
      </c>
      <c r="C179" s="14" t="s">
        <v>271</v>
      </c>
      <c r="D179" s="13" t="s">
        <v>30</v>
      </c>
      <c r="E179" s="14" t="s">
        <v>275</v>
      </c>
      <c r="F179" s="15" t="s">
        <v>24</v>
      </c>
      <c r="G179" s="14"/>
    </row>
    <row x14ac:dyDescent="0.25" r="180" customHeight="1" ht="18.75">
      <c r="A180" s="13" t="s">
        <v>269</v>
      </c>
      <c r="B180" s="13" t="s">
        <v>270</v>
      </c>
      <c r="C180" s="14" t="s">
        <v>271</v>
      </c>
      <c r="D180" s="13" t="s">
        <v>33</v>
      </c>
      <c r="E180" s="14" t="s">
        <v>276</v>
      </c>
      <c r="F180" s="15" t="s">
        <v>24</v>
      </c>
      <c r="G180" s="14"/>
    </row>
    <row x14ac:dyDescent="0.25" r="181" customHeight="1" ht="18.75">
      <c r="A181" s="13" t="s">
        <v>277</v>
      </c>
      <c r="B181" s="13" t="s">
        <v>278</v>
      </c>
      <c r="C181" s="14" t="s">
        <v>279</v>
      </c>
      <c r="D181" s="13" t="s">
        <v>22</v>
      </c>
      <c r="E181" s="14" t="s">
        <v>280</v>
      </c>
      <c r="F181" s="15" t="s">
        <v>24</v>
      </c>
      <c r="G181" s="14"/>
    </row>
    <row x14ac:dyDescent="0.25" r="182" customHeight="1" ht="18.75">
      <c r="A182" s="13" t="s">
        <v>277</v>
      </c>
      <c r="B182" s="13" t="s">
        <v>278</v>
      </c>
      <c r="C182" s="14" t="s">
        <v>279</v>
      </c>
      <c r="D182" s="13" t="s">
        <v>22</v>
      </c>
      <c r="E182" s="14" t="s">
        <v>281</v>
      </c>
      <c r="F182" s="15" t="s">
        <v>24</v>
      </c>
      <c r="G182" s="14"/>
    </row>
    <row x14ac:dyDescent="0.25" r="183" customHeight="1" ht="18.75">
      <c r="A183" s="13" t="s">
        <v>277</v>
      </c>
      <c r="B183" s="13" t="s">
        <v>278</v>
      </c>
      <c r="C183" s="14" t="s">
        <v>279</v>
      </c>
      <c r="D183" s="13" t="s">
        <v>22</v>
      </c>
      <c r="E183" s="14" t="s">
        <v>282</v>
      </c>
      <c r="F183" s="15" t="s">
        <v>24</v>
      </c>
      <c r="G183" s="14"/>
    </row>
    <row x14ac:dyDescent="0.25" r="184" customHeight="1" ht="18.75">
      <c r="A184" s="13" t="s">
        <v>277</v>
      </c>
      <c r="B184" s="13" t="s">
        <v>278</v>
      </c>
      <c r="C184" s="14" t="s">
        <v>279</v>
      </c>
      <c r="D184" s="13" t="s">
        <v>22</v>
      </c>
      <c r="E184" s="14" t="s">
        <v>283</v>
      </c>
      <c r="F184" s="15" t="s">
        <v>24</v>
      </c>
      <c r="G184" s="14"/>
    </row>
    <row x14ac:dyDescent="0.25" r="185" customHeight="1" ht="18.75">
      <c r="A185" s="13" t="s">
        <v>277</v>
      </c>
      <c r="B185" s="13" t="s">
        <v>278</v>
      </c>
      <c r="C185" s="14" t="s">
        <v>279</v>
      </c>
      <c r="D185" s="13" t="s">
        <v>30</v>
      </c>
      <c r="E185" s="14" t="s">
        <v>284</v>
      </c>
      <c r="F185" s="15" t="s">
        <v>24</v>
      </c>
      <c r="G185" s="14"/>
    </row>
    <row x14ac:dyDescent="0.25" r="186" customHeight="1" ht="18.75">
      <c r="A186" s="13" t="s">
        <v>277</v>
      </c>
      <c r="B186" s="13" t="s">
        <v>278</v>
      </c>
      <c r="C186" s="14" t="s">
        <v>279</v>
      </c>
      <c r="D186" s="13" t="s">
        <v>33</v>
      </c>
      <c r="E186" s="14" t="s">
        <v>285</v>
      </c>
      <c r="F186" s="15" t="s">
        <v>24</v>
      </c>
      <c r="G186" s="14"/>
    </row>
    <row x14ac:dyDescent="0.25" r="187" customHeight="1" ht="18.75">
      <c r="A187" s="13" t="s">
        <v>286</v>
      </c>
      <c r="B187" s="13" t="s">
        <v>287</v>
      </c>
      <c r="C187" s="14" t="s">
        <v>288</v>
      </c>
      <c r="D187" s="13" t="s">
        <v>22</v>
      </c>
      <c r="E187" s="14" t="s">
        <v>289</v>
      </c>
      <c r="F187" s="15" t="s">
        <v>24</v>
      </c>
      <c r="G187" s="14"/>
    </row>
    <row x14ac:dyDescent="0.25" r="188" customHeight="1" ht="18.75">
      <c r="A188" s="13" t="s">
        <v>286</v>
      </c>
      <c r="B188" s="13" t="s">
        <v>287</v>
      </c>
      <c r="C188" s="14" t="s">
        <v>288</v>
      </c>
      <c r="D188" s="13" t="s">
        <v>22</v>
      </c>
      <c r="E188" s="14" t="s">
        <v>290</v>
      </c>
      <c r="F188" s="15" t="s">
        <v>24</v>
      </c>
      <c r="G188" s="14"/>
    </row>
    <row x14ac:dyDescent="0.25" r="189" customHeight="1" ht="18.75">
      <c r="A189" s="13" t="s">
        <v>286</v>
      </c>
      <c r="B189" s="13" t="s">
        <v>287</v>
      </c>
      <c r="C189" s="14" t="s">
        <v>288</v>
      </c>
      <c r="D189" s="13" t="s">
        <v>22</v>
      </c>
      <c r="E189" s="14" t="s">
        <v>291</v>
      </c>
      <c r="F189" s="15" t="s">
        <v>24</v>
      </c>
      <c r="G189" s="14"/>
    </row>
    <row x14ac:dyDescent="0.25" r="190" customHeight="1" ht="18.75">
      <c r="A190" s="13" t="s">
        <v>286</v>
      </c>
      <c r="B190" s="13" t="s">
        <v>287</v>
      </c>
      <c r="C190" s="14" t="s">
        <v>288</v>
      </c>
      <c r="D190" s="13" t="s">
        <v>22</v>
      </c>
      <c r="E190" s="14" t="s">
        <v>292</v>
      </c>
      <c r="F190" s="15" t="s">
        <v>24</v>
      </c>
      <c r="G190" s="14"/>
    </row>
    <row x14ac:dyDescent="0.25" r="191" customHeight="1" ht="18.75">
      <c r="A191" s="13" t="s">
        <v>286</v>
      </c>
      <c r="B191" s="13" t="s">
        <v>287</v>
      </c>
      <c r="C191" s="14" t="s">
        <v>288</v>
      </c>
      <c r="D191" s="13" t="s">
        <v>22</v>
      </c>
      <c r="E191" s="14" t="s">
        <v>293</v>
      </c>
      <c r="F191" s="15" t="s">
        <v>24</v>
      </c>
      <c r="G191" s="14"/>
    </row>
    <row x14ac:dyDescent="0.25" r="192" customHeight="1" ht="18.75">
      <c r="A192" s="13" t="s">
        <v>286</v>
      </c>
      <c r="B192" s="13" t="s">
        <v>287</v>
      </c>
      <c r="C192" s="14" t="s">
        <v>288</v>
      </c>
      <c r="D192" s="13" t="s">
        <v>30</v>
      </c>
      <c r="E192" s="14" t="s">
        <v>294</v>
      </c>
      <c r="F192" s="15" t="s">
        <v>24</v>
      </c>
      <c r="G192" s="14"/>
    </row>
    <row x14ac:dyDescent="0.25" r="193" customHeight="1" ht="18.75">
      <c r="A193" s="13" t="s">
        <v>286</v>
      </c>
      <c r="B193" s="13" t="s">
        <v>287</v>
      </c>
      <c r="C193" s="14" t="s">
        <v>288</v>
      </c>
      <c r="D193" s="13" t="s">
        <v>33</v>
      </c>
      <c r="E193" s="14" t="s">
        <v>295</v>
      </c>
      <c r="F193" s="15" t="s">
        <v>24</v>
      </c>
      <c r="G193" s="1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8"/>
  <sheetViews>
    <sheetView workbookViewId="0"/>
  </sheetViews>
  <sheetFormatPr defaultRowHeight="15" x14ac:dyDescent="0.25"/>
  <cols>
    <col min="1" max="1" style="9" width="24.005" customWidth="1" bestFit="1"/>
    <col min="2" max="2" style="10" width="90.005" customWidth="1" bestFit="1"/>
    <col min="3" max="3" style="11" width="13.576428571428572" customWidth="1" bestFit="1"/>
    <col min="4" max="4" style="11" width="13.576428571428572" customWidth="1" bestFit="1"/>
  </cols>
  <sheetData>
    <row x14ac:dyDescent="0.25" r="1" customHeight="1" ht="18.75">
      <c r="A1" s="1" t="s">
        <v>0</v>
      </c>
      <c r="B1" s="2"/>
      <c r="C1" s="3"/>
      <c r="D1" s="3"/>
    </row>
    <row x14ac:dyDescent="0.25" r="2" customHeight="1" ht="18.75" customFormat="1" s="4">
      <c r="A2" s="5"/>
      <c r="B2" s="2"/>
      <c r="C2" s="6"/>
      <c r="D2" s="6"/>
    </row>
    <row x14ac:dyDescent="0.25" r="3" customHeight="1" ht="30">
      <c r="A3" s="7" t="s">
        <v>1</v>
      </c>
      <c r="B3" s="8" t="s">
        <v>2</v>
      </c>
      <c r="C3" s="3"/>
      <c r="D3" s="3"/>
    </row>
    <row x14ac:dyDescent="0.25" r="4" customHeight="1" ht="30">
      <c r="A4" s="7" t="s">
        <v>3</v>
      </c>
      <c r="B4" s="8" t="s">
        <v>4</v>
      </c>
      <c r="C4" s="3"/>
      <c r="D4" s="3"/>
    </row>
    <row x14ac:dyDescent="0.25" r="5" customHeight="1" ht="30">
      <c r="A5" s="7" t="s">
        <v>5</v>
      </c>
      <c r="B5" s="8" t="s">
        <v>6</v>
      </c>
      <c r="C5" s="3"/>
      <c r="D5" s="3"/>
    </row>
    <row x14ac:dyDescent="0.25" r="6" customHeight="1" ht="30">
      <c r="A6" s="7" t="s">
        <v>7</v>
      </c>
      <c r="B6" s="8" t="s">
        <v>8</v>
      </c>
      <c r="C6" s="3"/>
      <c r="D6" s="3"/>
    </row>
    <row x14ac:dyDescent="0.25" r="7" customHeight="1" ht="30">
      <c r="A7" s="7" t="s">
        <v>9</v>
      </c>
      <c r="B7" s="8" t="s">
        <v>10</v>
      </c>
      <c r="C7" s="3"/>
      <c r="D7" s="3"/>
    </row>
    <row x14ac:dyDescent="0.25" r="8" customHeight="1" ht="30">
      <c r="A8" s="7" t="s">
        <v>11</v>
      </c>
      <c r="B8" s="8" t="s">
        <v>12</v>
      </c>
      <c r="C8" s="3"/>
      <c r="D8" s="3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Dashboard</vt:lpstr>
      <vt:lpstr>Tasks</vt:lpstr>
      <vt:lpstr>Instructions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2026-08-24T18:24:46.158Z</dcterms:created>
  <dcterms:modified xsi:type="dcterms:W3CDTF">2026-08-24T18:24:46.158Z</dcterms:modified>
</cp:coreProperties>
</file>